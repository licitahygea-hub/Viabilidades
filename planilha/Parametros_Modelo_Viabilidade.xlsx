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uavilymCristinaDosS\Downloads\"/>
    </mc:Choice>
  </mc:AlternateContent>
  <xr:revisionPtr revIDLastSave="0" documentId="13_ncr:1_{AAC9AD49-7780-4BC1-B0BD-1CA8B6786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âmetros" sheetId="1" r:id="rId1"/>
    <sheet name="Planilha1" sheetId="2" r:id="rId2"/>
  </sheets>
  <definedNames>
    <definedName name="_xlnm._FilterDatabase" localSheetId="0" hidden="1">Parâmetros!$A$1:$N$93</definedName>
    <definedName name="_xlnm.Print_Titles" localSheetId="0">Parâmetros!$1:$1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" l="1"/>
</calcChain>
</file>

<file path=xl/sharedStrings.xml><?xml version="1.0" encoding="utf-8"?>
<sst xmlns="http://schemas.openxmlformats.org/spreadsheetml/2006/main" count="884" uniqueCount="327">
  <si>
    <t>Nº</t>
  </si>
  <si>
    <t>Bloco (aba)</t>
  </si>
  <si>
    <t>Seção</t>
  </si>
  <si>
    <t>Parâmetro</t>
  </si>
  <si>
    <t>Célula na planilha</t>
  </si>
  <si>
    <t>Tipo / formato</t>
  </si>
  <si>
    <t>Opções da lista suspensa</t>
  </si>
  <si>
    <t>Preenchimento</t>
  </si>
  <si>
    <t>Fonte da informação</t>
  </si>
  <si>
    <t>Exemplo (Botucatu/FAMESP)</t>
  </si>
  <si>
    <t>Observação</t>
  </si>
  <si>
    <t>Valor informado</t>
  </si>
  <si>
    <t>Processo</t>
  </si>
  <si>
    <t>Identificação</t>
  </si>
  <si>
    <t>C5</t>
  </si>
  <si>
    <t>Texto</t>
  </si>
  <si>
    <t>Obrigatório</t>
  </si>
  <si>
    <t>Edital</t>
  </si>
  <si>
    <t>Município/UF</t>
  </si>
  <si>
    <t>C6</t>
  </si>
  <si>
    <t>Botucatu/SP</t>
  </si>
  <si>
    <t>Capital do estado</t>
  </si>
  <si>
    <t>C7</t>
  </si>
  <si>
    <t>Pesquisa</t>
  </si>
  <si>
    <t>São Paulo</t>
  </si>
  <si>
    <t>Distância da capital (km)</t>
  </si>
  <si>
    <t>C8</t>
  </si>
  <si>
    <t>Número</t>
  </si>
  <si>
    <t>Opcional</t>
  </si>
  <si>
    <t>Pesquisa (mapa)</t>
  </si>
  <si>
    <t>C9</t>
  </si>
  <si>
    <t>C10</t>
  </si>
  <si>
    <t>Lista</t>
  </si>
  <si>
    <t>Sim · Não · Não informado</t>
  </si>
  <si>
    <t>Não</t>
  </si>
  <si>
    <t>Empresa participante</t>
  </si>
  <si>
    <t>C11</t>
  </si>
  <si>
    <t>Agile · Atena · Atmed · Deltamed · Gaia · Hera · Hygea · Inframed · Prohealth · Royalmed · Supramed · Arpen</t>
  </si>
  <si>
    <t>Decisão interna</t>
  </si>
  <si>
    <t>Aparece no Painel</t>
  </si>
  <si>
    <t>Modalidade</t>
  </si>
  <si>
    <t>C12</t>
  </si>
  <si>
    <t>Pregão Eletrônico · Pregão Presencial · Concorrência · Dispensa de Licitação · Emergencial · Credenciamento · Coleta de Preço · Tomada de Preço</t>
  </si>
  <si>
    <t>Pregão Eletrônico</t>
  </si>
  <si>
    <t>Nº do edital / processo</t>
  </si>
  <si>
    <t>C13</t>
  </si>
  <si>
    <t>PE 037/2026-FAMESP/HC · Proc. 52752/2026</t>
  </si>
  <si>
    <t>Data da sessão</t>
  </si>
  <si>
    <t>C14</t>
  </si>
  <si>
    <t>Data (dd/mm/aaaa)</t>
  </si>
  <si>
    <t>06/11/2026</t>
  </si>
  <si>
    <t>Horário da sessão</t>
  </si>
  <si>
    <t>C15</t>
  </si>
  <si>
    <t>Hora (hh:mm)</t>
  </si>
  <si>
    <t>09:00</t>
  </si>
  <si>
    <t>Tipo de licitação (critério)</t>
  </si>
  <si>
    <t>C16</t>
  </si>
  <si>
    <t>Menor Preço · Menor Preço Unitário · Menor Preço Global · Menor Preço por Lote · Menor Preço por Item · Maior Desconto · Empreitada por item unitário · Técnica e Preço</t>
  </si>
  <si>
    <t>Menor Preço por Item</t>
  </si>
  <si>
    <t>Modo de disputa</t>
  </si>
  <si>
    <t>C17</t>
  </si>
  <si>
    <t>Aberto · Aberto e fechado · Fechado · Não informado</t>
  </si>
  <si>
    <t>Aberto</t>
  </si>
  <si>
    <t>Objeto resumido</t>
  </si>
  <si>
    <t>C18</t>
  </si>
  <si>
    <t>Plantões médicos de urgência e emergência pediátrica (PSP e PSRP)</t>
  </si>
  <si>
    <t>Local de execução 1</t>
  </si>
  <si>
    <t>C19</t>
  </si>
  <si>
    <t>Edital / TR</t>
  </si>
  <si>
    <t>PSP — Pronto Socorro Pediátrico</t>
  </si>
  <si>
    <t>Local de execução 2</t>
  </si>
  <si>
    <t>C20</t>
  </si>
  <si>
    <t>Se houver</t>
  </si>
  <si>
    <t>PSRP — Pronto Socorro Referenciado Pediátrico</t>
  </si>
  <si>
    <t>C21</t>
  </si>
  <si>
    <t>Empresa atual (contrato vigente)</t>
  </si>
  <si>
    <t>Alimenta o checklist do Painel</t>
  </si>
  <si>
    <t>Razão social</t>
  </si>
  <si>
    <t>F6</t>
  </si>
  <si>
    <t>PNCP / portal de transparência</t>
  </si>
  <si>
    <t>CNPJ</t>
  </si>
  <si>
    <t>F7</t>
  </si>
  <si>
    <t>Cidade/UF</t>
  </si>
  <si>
    <t>F8</t>
  </si>
  <si>
    <t>Receita Federal</t>
  </si>
  <si>
    <t>Administrador</t>
  </si>
  <si>
    <t>F9</t>
  </si>
  <si>
    <t>Porte</t>
  </si>
  <si>
    <t>Valor global do contrato</t>
  </si>
  <si>
    <t>F12</t>
  </si>
  <si>
    <t>Moeda (R$)</t>
  </si>
  <si>
    <t>Gera o valor mensal e a comparação com nosso preço</t>
  </si>
  <si>
    <t>Vigência do contrato (meses)</t>
  </si>
  <si>
    <t>F13</t>
  </si>
  <si>
    <t>12</t>
  </si>
  <si>
    <t>Itens / valores praticados</t>
  </si>
  <si>
    <t>F16</t>
  </si>
  <si>
    <t>Texto longo</t>
  </si>
  <si>
    <t>Contrato / NFS-e / empenhos</t>
  </si>
  <si>
    <t>Pasquim R$ 850/plantão 6h = R$ 141,67/h</t>
  </si>
  <si>
    <t>Pesquisa de preço (valores a pagar)</t>
  </si>
  <si>
    <t>Equipe</t>
  </si>
  <si>
    <t>Status da pesquisa</t>
  </si>
  <si>
    <t>F20</t>
  </si>
  <si>
    <t>Pendente · Em andamento · Concluído</t>
  </si>
  <si>
    <t>Concluído</t>
  </si>
  <si>
    <t>Cidades de referência</t>
  </si>
  <si>
    <t>F22</t>
  </si>
  <si>
    <t>Observações / itens pesquisados</t>
  </si>
  <si>
    <t>F23</t>
  </si>
  <si>
    <t>Valor-hora pediatra / generalista c/ PALS na região</t>
  </si>
  <si>
    <t>Valores e prazos</t>
  </si>
  <si>
    <t>Valor estimado global</t>
  </si>
  <si>
    <t>C26</t>
  </si>
  <si>
    <t>Fórmula padrão (sobrescrever se preciso)</t>
  </si>
  <si>
    <t>Fórmula: =Margem!G9*12</t>
  </si>
  <si>
    <t>Padrão = estimado mensal da Margem × 12; digitar o valor do edital se for diferente</t>
  </si>
  <si>
    <t>Vigência (meses)</t>
  </si>
  <si>
    <t>C27</t>
  </si>
  <si>
    <t>Usada no valor global e nos concorrentes</t>
  </si>
  <si>
    <t>Renovação</t>
  </si>
  <si>
    <t>C29</t>
  </si>
  <si>
    <t>Até 06 meses · Até 12 meses · Até 24 meses · Até 5 anos · Até 10 anos · Período por igual · Ata Reg. Preço</t>
  </si>
  <si>
    <t>Até 5 anos</t>
  </si>
  <si>
    <t>Início previsto do contrato</t>
  </si>
  <si>
    <t>C30</t>
  </si>
  <si>
    <t>Edital / estimativa</t>
  </si>
  <si>
    <t>Define o 1º mês da Projeção</t>
  </si>
  <si>
    <t>Comitê de precificação</t>
  </si>
  <si>
    <t>Data prevista</t>
  </si>
  <si>
    <t>F26</t>
  </si>
  <si>
    <t>Agenda do comitê</t>
  </si>
  <si>
    <t>Data em que ocorreu</t>
  </si>
  <si>
    <t>F27</t>
  </si>
  <si>
    <t>Comitê</t>
  </si>
  <si>
    <t>Status</t>
  </si>
  <si>
    <t>F28</t>
  </si>
  <si>
    <t>Pendente</t>
  </si>
  <si>
    <t>Decisão</t>
  </si>
  <si>
    <t>F29</t>
  </si>
  <si>
    <t>Participar · Não participar · Pendente</t>
  </si>
  <si>
    <t>Quem compareceu?</t>
  </si>
  <si>
    <t>F30</t>
  </si>
  <si>
    <t>Regras do edital</t>
  </si>
  <si>
    <t>Exige garantia de proposta?</t>
  </si>
  <si>
    <t>C33</t>
  </si>
  <si>
    <t>Exige garantia contratual?</t>
  </si>
  <si>
    <t>C34</t>
  </si>
  <si>
    <t>Sim</t>
  </si>
  <si>
    <t>Quadro de serviços indica coordenação / RT / diretor técnico?</t>
  </si>
  <si>
    <t>C35</t>
  </si>
  <si>
    <t>Termo de referência indica coordenação / RT / diretor técnico?</t>
  </si>
  <si>
    <t>C36</t>
  </si>
  <si>
    <t>TR</t>
  </si>
  <si>
    <t>Se Sim, a Margem alerta para custear coordenação</t>
  </si>
  <si>
    <t>Permite subcontratação?</t>
  </si>
  <si>
    <t>C37</t>
  </si>
  <si>
    <t>Sim · Não · Parcial · Somente c/ autorização · Não informado</t>
  </si>
  <si>
    <t>% de subcontratação</t>
  </si>
  <si>
    <t>C38</t>
  </si>
  <si>
    <t>Percentual</t>
  </si>
  <si>
    <t>-</t>
  </si>
  <si>
    <t>Permite cooperativa?</t>
  </si>
  <si>
    <t>C39</t>
  </si>
  <si>
    <t>Não informado</t>
  </si>
  <si>
    <t>Permite Organização Social?</t>
  </si>
  <si>
    <t>C40</t>
  </si>
  <si>
    <t>Permite OSCIP?</t>
  </si>
  <si>
    <t>C41</t>
  </si>
  <si>
    <t>Permite consórcio?</t>
  </si>
  <si>
    <t>C42</t>
  </si>
  <si>
    <t>Responsabilidade pelo fornecimento de EPI</t>
  </si>
  <si>
    <t>C43</t>
  </si>
  <si>
    <t>Contratante · Contratada · Não informado</t>
  </si>
  <si>
    <t>Contratada</t>
  </si>
  <si>
    <t>Alimentação</t>
  </si>
  <si>
    <t>C44</t>
  </si>
  <si>
    <t>Por conta da contratada</t>
  </si>
  <si>
    <t>Dados extras</t>
  </si>
  <si>
    <t>E34</t>
  </si>
  <si>
    <t>Edital / TR / retificações</t>
  </si>
  <si>
    <t>Prazos, garantia, atestados, pagamento, reajuste…</t>
  </si>
  <si>
    <t>Campo livre com os pontos de atenção do edital</t>
  </si>
  <si>
    <t>Equipe técnica</t>
  </si>
  <si>
    <t>C47</t>
  </si>
  <si>
    <t>1 médico por plantão; residência/RQE em Pediatria…</t>
  </si>
  <si>
    <t>C48</t>
  </si>
  <si>
    <t>C49</t>
  </si>
  <si>
    <t>PALS ou CAEP</t>
  </si>
  <si>
    <t>Permite pós-graduação?</t>
  </si>
  <si>
    <t>C50</t>
  </si>
  <si>
    <t>Médico especialista (somente título)?</t>
  </si>
  <si>
    <t>C51</t>
  </si>
  <si>
    <t>Médico especialista com RQE (registro no CRM)?</t>
  </si>
  <si>
    <t>C52</t>
  </si>
  <si>
    <t>Quadro de itens (por item)</t>
  </si>
  <si>
    <t>Profissional / serviço</t>
  </si>
  <si>
    <t>C6:C…</t>
  </si>
  <si>
    <t>TR / modelo de proposta</t>
  </si>
  <si>
    <t>Médico Emergencista Pediatria - Plantão 12h (PSP)</t>
  </si>
  <si>
    <t>Repetir para cada item</t>
  </si>
  <si>
    <t>Local / unidade</t>
  </si>
  <si>
    <t>D6:D…</t>
  </si>
  <si>
    <t>PSP</t>
  </si>
  <si>
    <t>Carga informada (texto do TR)</t>
  </si>
  <si>
    <t>E6:E…</t>
  </si>
  <si>
    <t>2.920 plantões de 12h/ano — diurno e noturno, seg-dom</t>
  </si>
  <si>
    <t>Transcrever como está no TR</t>
  </si>
  <si>
    <t>Base da carga</t>
  </si>
  <si>
    <t>F6:F…</t>
  </si>
  <si>
    <t>h/mês · h/dia · h/semana · plantões 12h/mês · plantões 24h/mês</t>
  </si>
  <si>
    <t>plantões 12h/mês</t>
  </si>
  <si>
    <t>Define o fator de conversão para horas/mês</t>
  </si>
  <si>
    <t>Qtd informada</t>
  </si>
  <si>
    <t>G6:G…</t>
  </si>
  <si>
    <t>Número (aceita fórmula)</t>
  </si>
  <si>
    <t>Quantidade mensal na unidade da base da carga</t>
  </si>
  <si>
    <t>Nº de profissionais</t>
  </si>
  <si>
    <t>H6:H…</t>
  </si>
  <si>
    <t>1</t>
  </si>
  <si>
    <t>Deixar 1 quando o TR já trouxer o total do item</t>
  </si>
  <si>
    <t>Valor hora estimado</t>
  </si>
  <si>
    <t>J6:J…</t>
  </si>
  <si>
    <t>Em branco quando o edital é sigiloso / sem estimativa</t>
  </si>
  <si>
    <t>Valor mensal no TR</t>
  </si>
  <si>
    <t>L6:L…</t>
  </si>
  <si>
    <t>Usado para conferir com o valor calculado</t>
  </si>
  <si>
    <t>Premissas</t>
  </si>
  <si>
    <t>Tributos sobre o faturamento</t>
  </si>
  <si>
    <t>ISS — com abertura de filial (Cód. 4.01)</t>
  </si>
  <si>
    <t>Consulta ISS (grupo Teams)</t>
  </si>
  <si>
    <t>5,00%</t>
  </si>
  <si>
    <t>O modelo aplica o MAIOR entre as duas alíquotas</t>
  </si>
  <si>
    <t>ISS — sem abertura de filial (Cód. 17.05)</t>
  </si>
  <si>
    <t>2,00%</t>
  </si>
  <si>
    <t>Status da consulta ISS</t>
  </si>
  <si>
    <t>Pendente · Confirmado</t>
  </si>
  <si>
    <t>Consulta ISS</t>
  </si>
  <si>
    <t>Confirmado</t>
  </si>
  <si>
    <t>Pendente = alerta no Painel</t>
  </si>
  <si>
    <t>PIS</t>
  </si>
  <si>
    <t>Contabilidade</t>
  </si>
  <si>
    <t>0,65%</t>
  </si>
  <si>
    <t>COFINS</t>
  </si>
  <si>
    <t>3,00%</t>
  </si>
  <si>
    <t>CSLL</t>
  </si>
  <si>
    <t>1,08%</t>
  </si>
  <si>
    <t>IR</t>
  </si>
  <si>
    <t>Reajustes anuais (projeção)</t>
  </si>
  <si>
    <t>Reajuste do faturamento (IPCA estimado)</t>
  </si>
  <si>
    <t>Premissa interna</t>
  </si>
  <si>
    <t>Aplicado a partir do 2º ano</t>
  </si>
  <si>
    <t>Reajuste do valor pago aos médicos</t>
  </si>
  <si>
    <t>2,50%</t>
  </si>
  <si>
    <t>Reajuste dos custos indiretos</t>
  </si>
  <si>
    <t>Fórmula: =C16</t>
  </si>
  <si>
    <t>Padrão acompanha o IPCA</t>
  </si>
  <si>
    <t>Critérios de decisão</t>
  </si>
  <si>
    <t>Margem mínima (nosso mínimo)</t>
  </si>
  <si>
    <t>Diretoria</t>
  </si>
  <si>
    <t>6,0%</t>
  </si>
  <si>
    <t>Define o status dos itens e o lance limite</t>
  </si>
  <si>
    <t>Margem</t>
  </si>
  <si>
    <t>Itens (por item)</t>
  </si>
  <si>
    <t>Descrição (Médico + especialidade)</t>
  </si>
  <si>
    <t>Unidade</t>
  </si>
  <si>
    <t>Hora · Plantão 12h · Plantão 24h · Consulta · Mensal</t>
  </si>
  <si>
    <t>Edital / proposta</t>
  </si>
  <si>
    <t>Hora</t>
  </si>
  <si>
    <t>Qtd / mês</t>
  </si>
  <si>
    <t>Aba TR</t>
  </si>
  <si>
    <t>Fórmula: =TR!I6</t>
  </si>
  <si>
    <t>Padrão puxa as horas/mês da aba TR</t>
  </si>
  <si>
    <t>Valor unit. ESTIMADO (edital)</t>
  </si>
  <si>
    <t>Moeda (R$) ou texto</t>
  </si>
  <si>
    <t>Sigiloso</t>
  </si>
  <si>
    <t>Digitar "Sigiloso" quando não houver valor publicado</t>
  </si>
  <si>
    <t>Valor unit. PROPOSTO</t>
  </si>
  <si>
    <t>Decisão de preço</t>
  </si>
  <si>
    <t>R$ 175,00</t>
  </si>
  <si>
    <t>Nosso preço de faturamento</t>
  </si>
  <si>
    <t>Valor unit. A PAGAR</t>
  </si>
  <si>
    <t>I6:I…</t>
  </si>
  <si>
    <t>Pesquisa de preço</t>
  </si>
  <si>
    <t>R$ 141,66</t>
  </si>
  <si>
    <t>Custo do médico por unidade</t>
  </si>
  <si>
    <t>Custos indiretos mensais</t>
  </si>
  <si>
    <t>Coordenação / RT / Diretor técnico</t>
  </si>
  <si>
    <t>G13</t>
  </si>
  <si>
    <t>Pesquisa / premissa</t>
  </si>
  <si>
    <t>R$ 0,00</t>
  </si>
  <si>
    <t>Avaliar quando o TR exigir coordenação</t>
  </si>
  <si>
    <t>Outras despesas (equipamentos, insumos, EPI, alimentação)</t>
  </si>
  <si>
    <t>G14</t>
  </si>
  <si>
    <t>Despesas administrativas</t>
  </si>
  <si>
    <t>G15</t>
  </si>
  <si>
    <t>Simulador de Lances</t>
  </si>
  <si>
    <t>Concorrentes</t>
  </si>
  <si>
    <t>Ranking (por concorrente)</t>
  </si>
  <si>
    <t>C9:C28</t>
  </si>
  <si>
    <t>Ata da sessão / portal</t>
  </si>
  <si>
    <t>Repetir para cada concorrente</t>
  </si>
  <si>
    <t>E9:E28</t>
  </si>
  <si>
    <t>F9:F28</t>
  </si>
  <si>
    <t>MEI · ME · EPP · DEMAIS · O.S</t>
  </si>
  <si>
    <t>G9:G28</t>
  </si>
  <si>
    <t>Cidade</t>
  </si>
  <si>
    <t>I9:I28</t>
  </si>
  <si>
    <t>UF</t>
  </si>
  <si>
    <t>J9:J28</t>
  </si>
  <si>
    <t>Valor unitário</t>
  </si>
  <si>
    <t>K9:K28</t>
  </si>
  <si>
    <t>Ata da sessão</t>
  </si>
  <si>
    <t>Valor global</t>
  </si>
  <si>
    <t>L9:L28</t>
  </si>
  <si>
    <t>Gera mensal, desconto e nossa margem nesse preço</t>
  </si>
  <si>
    <t>P9:P28</t>
  </si>
  <si>
    <t>Vencedor · Habilitado · Inabilitado · Desclassificado · Em análise</t>
  </si>
  <si>
    <t>Ata / julgamento</t>
  </si>
  <si>
    <t>vai pra onde</t>
  </si>
  <si>
    <t>Após arremate, quanto tempo apresentar profissionais?</t>
  </si>
  <si>
    <t>Apresentar documento equipe técnica para assinar contrato?</t>
  </si>
  <si>
    <t>Exige cursos (ACLS/ATLS/PALS etc.)?</t>
  </si>
  <si>
    <t>Quais documentos apresentar para assinatura contrato?</t>
  </si>
  <si>
    <t>tela cliente</t>
  </si>
  <si>
    <t>margem</t>
  </si>
  <si>
    <t>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</si>
</sst>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C00000"/>
      <name val="Arial"/>
    </font>
    <font>
      <sz val="9"/>
      <color rgb="FF0000FF"/>
      <name val="Arial"/>
    </font>
    <font>
      <sz val="9"/>
      <color rgb="FF7F6000"/>
      <name val="Arial"/>
    </font>
    <font>
      <b/>
      <sz val="10"/>
      <color rgb="FFFF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2A3F"/>
      </patternFill>
    </fill>
    <fill>
      <patternFill patternType="solid">
        <fgColor rgb="FFFFE699"/>
      </patternFill>
    </fill>
    <fill>
      <patternFill patternType="solid">
        <fgColor rgb="FFF3F5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showGridLines="0" tabSelected="1" workbookViewId="0">
      <selection activeCell="G105" sqref="G105"/>
    </sheetView>
  </sheetViews>
  <sheetFormatPr defaultRowHeight="14.4" x14ac:dyDescent="0.3"/>
  <cols>
    <col min="1" max="1" width="5" customWidth="1"/>
    <col min="2" max="2" width="18" customWidth="1"/>
    <col min="3" max="3" width="26" customWidth="1"/>
    <col min="4" max="4" width="48" customWidth="1"/>
    <col min="5" max="6" width="13" customWidth="1"/>
    <col min="7" max="7" width="18" customWidth="1"/>
    <col min="8" max="8" width="42" customWidth="1"/>
    <col min="9" max="9" width="22" customWidth="1"/>
    <col min="10" max="10" width="26" customWidth="1"/>
    <col min="11" max="11" width="40" customWidth="1"/>
    <col min="12" max="12" width="44" customWidth="1"/>
    <col min="13" max="13" width="32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319</v>
      </c>
      <c r="G1" s="13" t="s">
        <v>5</v>
      </c>
      <c r="H1" s="1" t="s">
        <v>6</v>
      </c>
      <c r="I1" s="13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7">
        <v>2</v>
      </c>
      <c r="B2" s="8" t="s">
        <v>12</v>
      </c>
      <c r="C2" s="8" t="s">
        <v>13</v>
      </c>
      <c r="D2" s="9" t="s">
        <v>18</v>
      </c>
      <c r="E2" s="7" t="s">
        <v>19</v>
      </c>
      <c r="F2" s="14" t="s">
        <v>324</v>
      </c>
      <c r="G2" s="8" t="s">
        <v>15</v>
      </c>
      <c r="H2" s="8"/>
      <c r="I2" s="10" t="s">
        <v>16</v>
      </c>
      <c r="J2" s="8" t="s">
        <v>17</v>
      </c>
      <c r="K2" s="8" t="s">
        <v>20</v>
      </c>
      <c r="L2" s="8"/>
      <c r="M2" s="6"/>
    </row>
    <row r="3" spans="1:13" x14ac:dyDescent="0.3">
      <c r="A3" s="2">
        <v>3</v>
      </c>
      <c r="B3" s="3" t="s">
        <v>12</v>
      </c>
      <c r="C3" s="3" t="s">
        <v>13</v>
      </c>
      <c r="D3" s="4" t="s">
        <v>21</v>
      </c>
      <c r="E3" s="2" t="s">
        <v>22</v>
      </c>
      <c r="F3" s="14" t="s">
        <v>324</v>
      </c>
      <c r="G3" s="3" t="s">
        <v>15</v>
      </c>
      <c r="H3" s="3"/>
      <c r="I3" s="5" t="s">
        <v>16</v>
      </c>
      <c r="J3" s="3" t="s">
        <v>23</v>
      </c>
      <c r="K3" s="3" t="s">
        <v>24</v>
      </c>
      <c r="L3" s="3"/>
      <c r="M3" s="6"/>
    </row>
    <row r="4" spans="1:13" x14ac:dyDescent="0.3">
      <c r="A4" s="7">
        <v>4</v>
      </c>
      <c r="B4" s="8" t="s">
        <v>12</v>
      </c>
      <c r="C4" s="8" t="s">
        <v>13</v>
      </c>
      <c r="D4" s="9" t="s">
        <v>25</v>
      </c>
      <c r="E4" s="7" t="s">
        <v>26</v>
      </c>
      <c r="F4" s="14" t="s">
        <v>324</v>
      </c>
      <c r="G4" s="8" t="s">
        <v>27</v>
      </c>
      <c r="H4" s="8"/>
      <c r="I4" s="8" t="s">
        <v>28</v>
      </c>
      <c r="J4" s="8" t="s">
        <v>29</v>
      </c>
      <c r="K4" s="8"/>
      <c r="L4" s="8"/>
      <c r="M4" s="6"/>
    </row>
    <row r="5" spans="1:13" ht="22.8" x14ac:dyDescent="0.3">
      <c r="A5" s="2">
        <v>7</v>
      </c>
      <c r="B5" s="3" t="s">
        <v>12</v>
      </c>
      <c r="C5" s="3" t="s">
        <v>13</v>
      </c>
      <c r="D5" s="4" t="s">
        <v>35</v>
      </c>
      <c r="E5" s="2" t="s">
        <v>36</v>
      </c>
      <c r="F5" s="15" t="s">
        <v>325</v>
      </c>
      <c r="G5" s="3" t="s">
        <v>32</v>
      </c>
      <c r="H5" s="3" t="s">
        <v>37</v>
      </c>
      <c r="I5" s="5" t="s">
        <v>16</v>
      </c>
      <c r="J5" s="3" t="s">
        <v>38</v>
      </c>
      <c r="K5" s="3"/>
      <c r="L5" s="3" t="s">
        <v>39</v>
      </c>
      <c r="M5" s="6"/>
    </row>
    <row r="6" spans="1:13" ht="34.200000000000003" x14ac:dyDescent="0.3">
      <c r="A6" s="7">
        <v>8</v>
      </c>
      <c r="B6" s="8" t="s">
        <v>12</v>
      </c>
      <c r="C6" s="8" t="s">
        <v>13</v>
      </c>
      <c r="D6" s="9" t="s">
        <v>40</v>
      </c>
      <c r="E6" s="7" t="s">
        <v>41</v>
      </c>
      <c r="F6" s="14" t="s">
        <v>324</v>
      </c>
      <c r="G6" s="8" t="s">
        <v>32</v>
      </c>
      <c r="H6" s="8" t="s">
        <v>42</v>
      </c>
      <c r="I6" s="10" t="s">
        <v>16</v>
      </c>
      <c r="J6" s="8" t="s">
        <v>17</v>
      </c>
      <c r="K6" s="8" t="s">
        <v>43</v>
      </c>
      <c r="L6" s="8"/>
      <c r="M6" s="6"/>
    </row>
    <row r="7" spans="1:13" ht="34.200000000000003" x14ac:dyDescent="0.3">
      <c r="A7" s="7">
        <v>8</v>
      </c>
      <c r="B7" s="8" t="s">
        <v>12</v>
      </c>
      <c r="C7" s="8" t="s">
        <v>13</v>
      </c>
      <c r="D7" s="9" t="s">
        <v>40</v>
      </c>
      <c r="E7" s="7" t="s">
        <v>41</v>
      </c>
      <c r="F7" s="14" t="s">
        <v>325</v>
      </c>
      <c r="G7" s="8" t="s">
        <v>32</v>
      </c>
      <c r="H7" s="8" t="s">
        <v>42</v>
      </c>
      <c r="I7" s="10" t="s">
        <v>16</v>
      </c>
      <c r="J7" s="8" t="s">
        <v>17</v>
      </c>
      <c r="K7" s="8" t="s">
        <v>43</v>
      </c>
      <c r="L7" s="8"/>
      <c r="M7" s="6"/>
    </row>
    <row r="8" spans="1:13" x14ac:dyDescent="0.3">
      <c r="A8" s="2">
        <v>9</v>
      </c>
      <c r="B8" s="3" t="s">
        <v>12</v>
      </c>
      <c r="C8" s="3" t="s">
        <v>13</v>
      </c>
      <c r="D8" s="4" t="s">
        <v>44</v>
      </c>
      <c r="E8" s="2" t="s">
        <v>45</v>
      </c>
      <c r="F8" s="15" t="s">
        <v>325</v>
      </c>
      <c r="G8" s="3" t="s">
        <v>15</v>
      </c>
      <c r="H8" s="3"/>
      <c r="I8" s="5" t="s">
        <v>16</v>
      </c>
      <c r="J8" s="3" t="s">
        <v>17</v>
      </c>
      <c r="K8" s="3" t="s">
        <v>46</v>
      </c>
      <c r="L8" s="3"/>
      <c r="M8" s="6"/>
    </row>
    <row r="9" spans="1:13" x14ac:dyDescent="0.3">
      <c r="A9" s="7">
        <v>10</v>
      </c>
      <c r="B9" s="8" t="s">
        <v>12</v>
      </c>
      <c r="C9" s="8" t="s">
        <v>13</v>
      </c>
      <c r="D9" s="9" t="s">
        <v>47</v>
      </c>
      <c r="E9" s="7" t="s">
        <v>48</v>
      </c>
      <c r="F9" s="14" t="s">
        <v>325</v>
      </c>
      <c r="G9" s="8" t="s">
        <v>49</v>
      </c>
      <c r="H9" s="8"/>
      <c r="I9" s="10" t="s">
        <v>16</v>
      </c>
      <c r="J9" s="8" t="s">
        <v>17</v>
      </c>
      <c r="K9" s="8" t="s">
        <v>50</v>
      </c>
      <c r="L9" s="8"/>
      <c r="M9" s="6"/>
    </row>
    <row r="10" spans="1:13" x14ac:dyDescent="0.3">
      <c r="A10" s="2">
        <v>11</v>
      </c>
      <c r="B10" s="3" t="s">
        <v>12</v>
      </c>
      <c r="C10" s="3" t="s">
        <v>13</v>
      </c>
      <c r="D10" s="4" t="s">
        <v>51</v>
      </c>
      <c r="E10" s="2" t="s">
        <v>52</v>
      </c>
      <c r="F10" s="15" t="s">
        <v>325</v>
      </c>
      <c r="G10" s="3" t="s">
        <v>53</v>
      </c>
      <c r="H10" s="3"/>
      <c r="I10" s="5" t="s">
        <v>16</v>
      </c>
      <c r="J10" s="3" t="s">
        <v>17</v>
      </c>
      <c r="K10" s="3" t="s">
        <v>54</v>
      </c>
      <c r="L10" s="3"/>
      <c r="M10" s="6"/>
    </row>
    <row r="11" spans="1:13" x14ac:dyDescent="0.3">
      <c r="A11" s="2">
        <v>75</v>
      </c>
      <c r="B11" s="3" t="s">
        <v>227</v>
      </c>
      <c r="C11" s="3" t="s">
        <v>228</v>
      </c>
      <c r="D11" s="4" t="s">
        <v>235</v>
      </c>
      <c r="E11" s="2" t="s">
        <v>22</v>
      </c>
      <c r="F11" s="15" t="s">
        <v>325</v>
      </c>
      <c r="G11" s="3" t="s">
        <v>32</v>
      </c>
      <c r="H11" s="3" t="s">
        <v>236</v>
      </c>
      <c r="I11" s="5" t="s">
        <v>16</v>
      </c>
      <c r="J11" s="3" t="s">
        <v>237</v>
      </c>
      <c r="K11" s="3" t="s">
        <v>238</v>
      </c>
      <c r="L11" s="3" t="s">
        <v>239</v>
      </c>
      <c r="M11" s="6"/>
    </row>
    <row r="12" spans="1:13" x14ac:dyDescent="0.3">
      <c r="A12" s="7">
        <v>10</v>
      </c>
      <c r="B12" s="8" t="s">
        <v>12</v>
      </c>
      <c r="C12" s="8" t="s">
        <v>13</v>
      </c>
      <c r="D12" s="9" t="s">
        <v>47</v>
      </c>
      <c r="E12" s="7" t="s">
        <v>48</v>
      </c>
      <c r="F12" s="14" t="s">
        <v>326</v>
      </c>
      <c r="G12" s="8" t="s">
        <v>49</v>
      </c>
      <c r="H12" s="8"/>
      <c r="I12" s="10" t="s">
        <v>16</v>
      </c>
      <c r="J12" s="8" t="s">
        <v>17</v>
      </c>
      <c r="K12" s="8" t="s">
        <v>50</v>
      </c>
      <c r="L12" s="8"/>
      <c r="M12" s="6"/>
    </row>
    <row r="13" spans="1:13" x14ac:dyDescent="0.3">
      <c r="A13" s="2">
        <v>11</v>
      </c>
      <c r="B13" s="3" t="s">
        <v>12</v>
      </c>
      <c r="C13" s="3" t="s">
        <v>13</v>
      </c>
      <c r="D13" s="4" t="s">
        <v>51</v>
      </c>
      <c r="E13" s="2" t="s">
        <v>52</v>
      </c>
      <c r="F13" s="15" t="s">
        <v>326</v>
      </c>
      <c r="G13" s="3" t="s">
        <v>53</v>
      </c>
      <c r="H13" s="3"/>
      <c r="I13" s="5" t="s">
        <v>16</v>
      </c>
      <c r="J13" s="3" t="s">
        <v>17</v>
      </c>
      <c r="K13" s="3" t="s">
        <v>54</v>
      </c>
      <c r="L13" s="3"/>
      <c r="M13" s="6"/>
    </row>
    <row r="14" spans="1:13" ht="45.6" x14ac:dyDescent="0.3">
      <c r="A14" s="7">
        <v>12</v>
      </c>
      <c r="B14" s="8" t="s">
        <v>12</v>
      </c>
      <c r="C14" s="8" t="s">
        <v>13</v>
      </c>
      <c r="D14" s="9" t="s">
        <v>55</v>
      </c>
      <c r="E14" s="7" t="s">
        <v>56</v>
      </c>
      <c r="F14" s="15" t="s">
        <v>325</v>
      </c>
      <c r="G14" s="8" t="s">
        <v>32</v>
      </c>
      <c r="H14" s="8" t="s">
        <v>57</v>
      </c>
      <c r="I14" s="10" t="s">
        <v>16</v>
      </c>
      <c r="J14" s="8" t="s">
        <v>17</v>
      </c>
      <c r="K14" s="8" t="s">
        <v>58</v>
      </c>
      <c r="L14" s="8"/>
      <c r="M14" s="6"/>
    </row>
    <row r="15" spans="1:13" x14ac:dyDescent="0.3">
      <c r="A15" s="2">
        <v>13</v>
      </c>
      <c r="B15" s="3" t="s">
        <v>12</v>
      </c>
      <c r="C15" s="3" t="s">
        <v>13</v>
      </c>
      <c r="D15" s="4" t="s">
        <v>59</v>
      </c>
      <c r="E15" s="2" t="s">
        <v>60</v>
      </c>
      <c r="F15" s="15" t="s">
        <v>325</v>
      </c>
      <c r="G15" s="3" t="s">
        <v>32</v>
      </c>
      <c r="H15" s="3" t="s">
        <v>61</v>
      </c>
      <c r="I15" s="5" t="s">
        <v>16</v>
      </c>
      <c r="J15" s="3" t="s">
        <v>17</v>
      </c>
      <c r="K15" s="3" t="s">
        <v>62</v>
      </c>
      <c r="L15" s="3"/>
      <c r="M15" s="6"/>
    </row>
    <row r="16" spans="1:13" ht="22.8" x14ac:dyDescent="0.3">
      <c r="A16" s="7">
        <v>14</v>
      </c>
      <c r="B16" s="8" t="s">
        <v>12</v>
      </c>
      <c r="C16" s="8" t="s">
        <v>13</v>
      </c>
      <c r="D16" s="9" t="s">
        <v>63</v>
      </c>
      <c r="E16" s="7" t="s">
        <v>64</v>
      </c>
      <c r="F16" s="15" t="s">
        <v>325</v>
      </c>
      <c r="G16" s="8" t="s">
        <v>15</v>
      </c>
      <c r="H16" s="8"/>
      <c r="I16" s="10" t="s">
        <v>16</v>
      </c>
      <c r="J16" s="8" t="s">
        <v>17</v>
      </c>
      <c r="K16" s="8" t="s">
        <v>65</v>
      </c>
      <c r="L16" s="8"/>
      <c r="M16" s="6"/>
    </row>
    <row r="17" spans="1:13" x14ac:dyDescent="0.3">
      <c r="A17" s="2">
        <v>15</v>
      </c>
      <c r="B17" s="3" t="s">
        <v>12</v>
      </c>
      <c r="C17" s="3" t="s">
        <v>13</v>
      </c>
      <c r="D17" s="4" t="s">
        <v>66</v>
      </c>
      <c r="E17" s="2" t="s">
        <v>67</v>
      </c>
      <c r="F17" s="15" t="s">
        <v>325</v>
      </c>
      <c r="G17" s="3" t="s">
        <v>15</v>
      </c>
      <c r="H17" s="3"/>
      <c r="I17" s="5" t="s">
        <v>16</v>
      </c>
      <c r="J17" s="3" t="s">
        <v>68</v>
      </c>
      <c r="K17" s="3" t="s">
        <v>69</v>
      </c>
      <c r="L17" s="3"/>
      <c r="M17" s="6"/>
    </row>
    <row r="18" spans="1:13" x14ac:dyDescent="0.3">
      <c r="A18" s="7">
        <v>16</v>
      </c>
      <c r="B18" s="8" t="s">
        <v>12</v>
      </c>
      <c r="C18" s="8" t="s">
        <v>13</v>
      </c>
      <c r="D18" s="9" t="s">
        <v>70</v>
      </c>
      <c r="E18" s="7" t="s">
        <v>71</v>
      </c>
      <c r="F18" s="15" t="s">
        <v>325</v>
      </c>
      <c r="G18" s="8" t="s">
        <v>15</v>
      </c>
      <c r="H18" s="8"/>
      <c r="I18" s="8" t="s">
        <v>72</v>
      </c>
      <c r="J18" s="8" t="s">
        <v>68</v>
      </c>
      <c r="K18" s="8" t="s">
        <v>73</v>
      </c>
      <c r="L18" s="8"/>
      <c r="M18" s="6"/>
    </row>
    <row r="19" spans="1:13" x14ac:dyDescent="0.3">
      <c r="A19" s="2">
        <v>21</v>
      </c>
      <c r="B19" s="3" t="s">
        <v>12</v>
      </c>
      <c r="C19" s="3" t="s">
        <v>75</v>
      </c>
      <c r="D19" s="4" t="s">
        <v>77</v>
      </c>
      <c r="E19" s="2" t="s">
        <v>78</v>
      </c>
      <c r="F19" s="15" t="s">
        <v>325</v>
      </c>
      <c r="G19" s="3" t="s">
        <v>15</v>
      </c>
      <c r="H19" s="3"/>
      <c r="I19" s="3" t="s">
        <v>72</v>
      </c>
      <c r="J19" s="3" t="s">
        <v>79</v>
      </c>
      <c r="K19" s="3"/>
      <c r="L19" s="3"/>
      <c r="M19" s="6"/>
    </row>
    <row r="20" spans="1:13" x14ac:dyDescent="0.3">
      <c r="A20" s="7">
        <v>22</v>
      </c>
      <c r="B20" s="8" t="s">
        <v>12</v>
      </c>
      <c r="C20" s="8" t="s">
        <v>75</v>
      </c>
      <c r="D20" s="9" t="s">
        <v>80</v>
      </c>
      <c r="E20" s="7" t="s">
        <v>81</v>
      </c>
      <c r="F20" s="15" t="s">
        <v>325</v>
      </c>
      <c r="G20" s="8" t="s">
        <v>15</v>
      </c>
      <c r="H20" s="8"/>
      <c r="I20" s="8" t="s">
        <v>72</v>
      </c>
      <c r="J20" s="8" t="s">
        <v>79</v>
      </c>
      <c r="K20" s="8"/>
      <c r="L20" s="8"/>
      <c r="M20" s="6"/>
    </row>
    <row r="21" spans="1:13" x14ac:dyDescent="0.3">
      <c r="A21" s="2">
        <v>23</v>
      </c>
      <c r="B21" s="3" t="s">
        <v>12</v>
      </c>
      <c r="C21" s="3" t="s">
        <v>75</v>
      </c>
      <c r="D21" s="4" t="s">
        <v>82</v>
      </c>
      <c r="E21" s="2" t="s">
        <v>83</v>
      </c>
      <c r="F21" s="15" t="s">
        <v>325</v>
      </c>
      <c r="G21" s="3" t="s">
        <v>15</v>
      </c>
      <c r="H21" s="3"/>
      <c r="I21" s="3" t="s">
        <v>72</v>
      </c>
      <c r="J21" s="3" t="s">
        <v>84</v>
      </c>
      <c r="K21" s="3"/>
      <c r="L21" s="3"/>
      <c r="M21" s="6"/>
    </row>
    <row r="22" spans="1:13" x14ac:dyDescent="0.3">
      <c r="A22" s="7">
        <v>24</v>
      </c>
      <c r="B22" s="8" t="s">
        <v>12</v>
      </c>
      <c r="C22" s="8" t="s">
        <v>75</v>
      </c>
      <c r="D22" s="9" t="s">
        <v>85</v>
      </c>
      <c r="E22" s="7" t="s">
        <v>86</v>
      </c>
      <c r="F22" s="15" t="s">
        <v>325</v>
      </c>
      <c r="G22" s="8" t="s">
        <v>15</v>
      </c>
      <c r="H22" s="8"/>
      <c r="I22" s="8" t="s">
        <v>72</v>
      </c>
      <c r="J22" s="8" t="s">
        <v>84</v>
      </c>
      <c r="K22" s="8"/>
      <c r="L22" s="8"/>
      <c r="M22" s="6"/>
    </row>
    <row r="23" spans="1:13" x14ac:dyDescent="0.3">
      <c r="A23" s="2">
        <v>27</v>
      </c>
      <c r="B23" s="3" t="s">
        <v>12</v>
      </c>
      <c r="C23" s="3" t="s">
        <v>75</v>
      </c>
      <c r="D23" s="4" t="s">
        <v>88</v>
      </c>
      <c r="E23" s="2" t="s">
        <v>89</v>
      </c>
      <c r="F23" s="15" t="s">
        <v>325</v>
      </c>
      <c r="G23" s="3" t="s">
        <v>90</v>
      </c>
      <c r="H23" s="3"/>
      <c r="I23" s="3" t="s">
        <v>72</v>
      </c>
      <c r="J23" s="3" t="s">
        <v>79</v>
      </c>
      <c r="K23" s="3"/>
      <c r="L23" s="3" t="s">
        <v>91</v>
      </c>
      <c r="M23" s="6"/>
    </row>
    <row r="24" spans="1:13" x14ac:dyDescent="0.3">
      <c r="A24" s="7">
        <v>28</v>
      </c>
      <c r="B24" s="8" t="s">
        <v>12</v>
      </c>
      <c r="C24" s="8" t="s">
        <v>75</v>
      </c>
      <c r="D24" s="9" t="s">
        <v>92</v>
      </c>
      <c r="E24" s="7" t="s">
        <v>93</v>
      </c>
      <c r="F24" s="15" t="s">
        <v>325</v>
      </c>
      <c r="G24" s="8" t="s">
        <v>27</v>
      </c>
      <c r="H24" s="8"/>
      <c r="I24" s="8" t="s">
        <v>72</v>
      </c>
      <c r="J24" s="8" t="s">
        <v>79</v>
      </c>
      <c r="K24" s="8" t="s">
        <v>94</v>
      </c>
      <c r="L24" s="8"/>
      <c r="M24" s="6"/>
    </row>
    <row r="25" spans="1:13" x14ac:dyDescent="0.3">
      <c r="A25" s="2">
        <v>29</v>
      </c>
      <c r="B25" s="3" t="s">
        <v>12</v>
      </c>
      <c r="C25" s="3" t="s">
        <v>75</v>
      </c>
      <c r="D25" s="4" t="s">
        <v>95</v>
      </c>
      <c r="E25" s="2" t="s">
        <v>96</v>
      </c>
      <c r="F25" s="15" t="s">
        <v>325</v>
      </c>
      <c r="G25" s="3" t="s">
        <v>97</v>
      </c>
      <c r="H25" s="3"/>
      <c r="I25" s="3" t="s">
        <v>72</v>
      </c>
      <c r="J25" s="3" t="s">
        <v>98</v>
      </c>
      <c r="K25" s="3" t="s">
        <v>99</v>
      </c>
      <c r="L25" s="3"/>
      <c r="M25" s="6"/>
    </row>
    <row r="26" spans="1:13" ht="22.8" x14ac:dyDescent="0.3">
      <c r="A26" s="2">
        <v>31</v>
      </c>
      <c r="B26" s="3" t="s">
        <v>12</v>
      </c>
      <c r="C26" s="3" t="s">
        <v>100</v>
      </c>
      <c r="D26" s="4" t="s">
        <v>102</v>
      </c>
      <c r="E26" s="2" t="s">
        <v>103</v>
      </c>
      <c r="F26" s="15" t="s">
        <v>325</v>
      </c>
      <c r="G26" s="3" t="s">
        <v>32</v>
      </c>
      <c r="H26" s="3" t="s">
        <v>104</v>
      </c>
      <c r="I26" s="5" t="s">
        <v>16</v>
      </c>
      <c r="J26" s="3" t="s">
        <v>101</v>
      </c>
      <c r="K26" s="3" t="s">
        <v>105</v>
      </c>
      <c r="L26" s="3" t="s">
        <v>76</v>
      </c>
      <c r="M26" s="6"/>
    </row>
    <row r="27" spans="1:13" ht="22.8" x14ac:dyDescent="0.3">
      <c r="A27" s="2">
        <v>33</v>
      </c>
      <c r="B27" s="3" t="s">
        <v>12</v>
      </c>
      <c r="C27" s="3" t="s">
        <v>100</v>
      </c>
      <c r="D27" s="4" t="s">
        <v>106</v>
      </c>
      <c r="E27" s="2" t="s">
        <v>107</v>
      </c>
      <c r="F27" s="15" t="s">
        <v>325</v>
      </c>
      <c r="G27" s="3" t="s">
        <v>15</v>
      </c>
      <c r="H27" s="3"/>
      <c r="I27" s="3" t="s">
        <v>28</v>
      </c>
      <c r="J27" s="3" t="s">
        <v>101</v>
      </c>
      <c r="K27" s="3"/>
      <c r="L27" s="3"/>
      <c r="M27" s="6"/>
    </row>
    <row r="28" spans="1:13" ht="22.8" x14ac:dyDescent="0.3">
      <c r="A28" s="7">
        <v>34</v>
      </c>
      <c r="B28" s="8" t="s">
        <v>12</v>
      </c>
      <c r="C28" s="8" t="s">
        <v>100</v>
      </c>
      <c r="D28" s="9" t="s">
        <v>108</v>
      </c>
      <c r="E28" s="7" t="s">
        <v>109</v>
      </c>
      <c r="F28" s="15" t="s">
        <v>325</v>
      </c>
      <c r="G28" s="8" t="s">
        <v>97</v>
      </c>
      <c r="H28" s="8"/>
      <c r="I28" s="8" t="s">
        <v>28</v>
      </c>
      <c r="J28" s="8" t="s">
        <v>101</v>
      </c>
      <c r="K28" s="8" t="s">
        <v>110</v>
      </c>
      <c r="L28" s="8"/>
      <c r="M28" s="6"/>
    </row>
    <row r="29" spans="1:13" ht="22.8" x14ac:dyDescent="0.3">
      <c r="A29" s="2">
        <v>35</v>
      </c>
      <c r="B29" s="3" t="s">
        <v>12</v>
      </c>
      <c r="C29" s="3" t="s">
        <v>111</v>
      </c>
      <c r="D29" s="4" t="s">
        <v>112</v>
      </c>
      <c r="E29" s="2" t="s">
        <v>113</v>
      </c>
      <c r="F29" s="15" t="s">
        <v>325</v>
      </c>
      <c r="G29" s="3" t="s">
        <v>90</v>
      </c>
      <c r="H29" s="3"/>
      <c r="I29" s="11" t="s">
        <v>114</v>
      </c>
      <c r="J29" s="3" t="s">
        <v>17</v>
      </c>
      <c r="K29" s="3" t="s">
        <v>115</v>
      </c>
      <c r="L29" s="3" t="s">
        <v>116</v>
      </c>
      <c r="M29" s="6"/>
    </row>
    <row r="30" spans="1:13" x14ac:dyDescent="0.3">
      <c r="A30" s="7">
        <v>36</v>
      </c>
      <c r="B30" s="8" t="s">
        <v>12</v>
      </c>
      <c r="C30" s="8" t="s">
        <v>111</v>
      </c>
      <c r="D30" s="9" t="s">
        <v>117</v>
      </c>
      <c r="E30" s="7" t="s">
        <v>118</v>
      </c>
      <c r="F30" s="15" t="s">
        <v>325</v>
      </c>
      <c r="G30" s="8" t="s">
        <v>27</v>
      </c>
      <c r="H30" s="8"/>
      <c r="I30" s="10" t="s">
        <v>16</v>
      </c>
      <c r="J30" s="8" t="s">
        <v>17</v>
      </c>
      <c r="K30" s="8" t="s">
        <v>94</v>
      </c>
      <c r="L30" s="8" t="s">
        <v>119</v>
      </c>
      <c r="M30" s="6"/>
    </row>
    <row r="31" spans="1:13" ht="22.8" x14ac:dyDescent="0.3">
      <c r="A31" s="2">
        <v>37</v>
      </c>
      <c r="B31" s="3" t="s">
        <v>12</v>
      </c>
      <c r="C31" s="3" t="s">
        <v>111</v>
      </c>
      <c r="D31" s="4" t="s">
        <v>120</v>
      </c>
      <c r="E31" s="2" t="s">
        <v>121</v>
      </c>
      <c r="F31" s="15" t="s">
        <v>325</v>
      </c>
      <c r="G31" s="3" t="s">
        <v>32</v>
      </c>
      <c r="H31" s="3" t="s">
        <v>122</v>
      </c>
      <c r="I31" s="5" t="s">
        <v>16</v>
      </c>
      <c r="J31" s="3" t="s">
        <v>17</v>
      </c>
      <c r="K31" s="3" t="s">
        <v>123</v>
      </c>
      <c r="L31" s="3"/>
      <c r="M31" s="6"/>
    </row>
    <row r="32" spans="1:13" x14ac:dyDescent="0.3">
      <c r="A32" s="7">
        <v>38</v>
      </c>
      <c r="B32" s="8" t="s">
        <v>12</v>
      </c>
      <c r="C32" s="8" t="s">
        <v>111</v>
      </c>
      <c r="D32" s="9" t="s">
        <v>124</v>
      </c>
      <c r="E32" s="7" t="s">
        <v>125</v>
      </c>
      <c r="F32" s="15" t="s">
        <v>325</v>
      </c>
      <c r="G32" s="8" t="s">
        <v>49</v>
      </c>
      <c r="H32" s="8"/>
      <c r="I32" s="8" t="s">
        <v>28</v>
      </c>
      <c r="J32" s="8" t="s">
        <v>126</v>
      </c>
      <c r="K32" s="8"/>
      <c r="L32" s="8" t="s">
        <v>127</v>
      </c>
      <c r="M32" s="6"/>
    </row>
    <row r="33" spans="1:13" x14ac:dyDescent="0.3">
      <c r="A33" s="2">
        <v>39</v>
      </c>
      <c r="B33" s="3" t="s">
        <v>12</v>
      </c>
      <c r="C33" s="3" t="s">
        <v>128</v>
      </c>
      <c r="D33" s="4" t="s">
        <v>129</v>
      </c>
      <c r="E33" s="2" t="s">
        <v>130</v>
      </c>
      <c r="F33" s="15" t="s">
        <v>325</v>
      </c>
      <c r="G33" s="3" t="s">
        <v>49</v>
      </c>
      <c r="H33" s="3"/>
      <c r="I33" s="5" t="s">
        <v>16</v>
      </c>
      <c r="J33" s="3" t="s">
        <v>131</v>
      </c>
      <c r="K33" s="3"/>
      <c r="L33" s="3" t="s">
        <v>76</v>
      </c>
      <c r="M33" s="6"/>
    </row>
    <row r="34" spans="1:13" x14ac:dyDescent="0.3">
      <c r="A34" s="7">
        <v>40</v>
      </c>
      <c r="B34" s="8" t="s">
        <v>12</v>
      </c>
      <c r="C34" s="8" t="s">
        <v>128</v>
      </c>
      <c r="D34" s="9" t="s">
        <v>132</v>
      </c>
      <c r="E34" s="7" t="s">
        <v>133</v>
      </c>
      <c r="F34" s="15" t="s">
        <v>325</v>
      </c>
      <c r="G34" s="8" t="s">
        <v>49</v>
      </c>
      <c r="H34" s="8"/>
      <c r="I34" s="8" t="s">
        <v>72</v>
      </c>
      <c r="J34" s="8" t="s">
        <v>134</v>
      </c>
      <c r="K34" s="8"/>
      <c r="L34" s="8"/>
      <c r="M34" s="6"/>
    </row>
    <row r="35" spans="1:13" x14ac:dyDescent="0.3">
      <c r="A35" s="2">
        <v>41</v>
      </c>
      <c r="B35" s="3" t="s">
        <v>12</v>
      </c>
      <c r="C35" s="3" t="s">
        <v>128</v>
      </c>
      <c r="D35" s="4" t="s">
        <v>135</v>
      </c>
      <c r="E35" s="2" t="s">
        <v>136</v>
      </c>
      <c r="F35" s="15" t="s">
        <v>325</v>
      </c>
      <c r="G35" s="3" t="s">
        <v>32</v>
      </c>
      <c r="H35" s="3" t="s">
        <v>104</v>
      </c>
      <c r="I35" s="5" t="s">
        <v>16</v>
      </c>
      <c r="J35" s="3" t="s">
        <v>134</v>
      </c>
      <c r="K35" s="3" t="s">
        <v>137</v>
      </c>
      <c r="L35" s="3"/>
      <c r="M35" s="6"/>
    </row>
    <row r="36" spans="1:13" x14ac:dyDescent="0.3">
      <c r="A36" s="7">
        <v>42</v>
      </c>
      <c r="B36" s="8" t="s">
        <v>12</v>
      </c>
      <c r="C36" s="8" t="s">
        <v>128</v>
      </c>
      <c r="D36" s="9" t="s">
        <v>138</v>
      </c>
      <c r="E36" s="7" t="s">
        <v>139</v>
      </c>
      <c r="F36" s="15" t="s">
        <v>325</v>
      </c>
      <c r="G36" s="8" t="s">
        <v>32</v>
      </c>
      <c r="H36" s="8" t="s">
        <v>140</v>
      </c>
      <c r="I36" s="10" t="s">
        <v>16</v>
      </c>
      <c r="J36" s="8" t="s">
        <v>134</v>
      </c>
      <c r="K36" s="8" t="s">
        <v>137</v>
      </c>
      <c r="L36" s="8"/>
      <c r="M36" s="6"/>
    </row>
    <row r="37" spans="1:13" x14ac:dyDescent="0.3">
      <c r="A37" s="2">
        <v>43</v>
      </c>
      <c r="B37" s="3" t="s">
        <v>12</v>
      </c>
      <c r="C37" s="3" t="s">
        <v>128</v>
      </c>
      <c r="D37" s="4" t="s">
        <v>141</v>
      </c>
      <c r="E37" s="2" t="s">
        <v>142</v>
      </c>
      <c r="F37" s="15" t="s">
        <v>325</v>
      </c>
      <c r="G37" s="3" t="s">
        <v>15</v>
      </c>
      <c r="H37" s="3"/>
      <c r="I37" s="3" t="s">
        <v>28</v>
      </c>
      <c r="J37" s="3" t="s">
        <v>134</v>
      </c>
      <c r="K37" s="3"/>
      <c r="L37" s="3"/>
      <c r="M37" s="6"/>
    </row>
    <row r="38" spans="1:13" x14ac:dyDescent="0.3">
      <c r="A38" s="2">
        <v>45</v>
      </c>
      <c r="B38" s="3" t="s">
        <v>12</v>
      </c>
      <c r="C38" s="3" t="s">
        <v>143</v>
      </c>
      <c r="D38" s="4" t="s">
        <v>144</v>
      </c>
      <c r="E38" s="2" t="s">
        <v>145</v>
      </c>
      <c r="F38" s="15" t="s">
        <v>325</v>
      </c>
      <c r="G38" s="3" t="s">
        <v>32</v>
      </c>
      <c r="H38" s="3" t="s">
        <v>33</v>
      </c>
      <c r="I38" s="5" t="s">
        <v>16</v>
      </c>
      <c r="J38" s="3" t="s">
        <v>17</v>
      </c>
      <c r="K38" s="3" t="s">
        <v>34</v>
      </c>
      <c r="L38" s="3"/>
      <c r="M38" s="6"/>
    </row>
    <row r="39" spans="1:13" x14ac:dyDescent="0.3">
      <c r="A39" s="7">
        <v>46</v>
      </c>
      <c r="B39" s="8" t="s">
        <v>12</v>
      </c>
      <c r="C39" s="8" t="s">
        <v>143</v>
      </c>
      <c r="D39" s="9" t="s">
        <v>146</v>
      </c>
      <c r="E39" s="7" t="s">
        <v>147</v>
      </c>
      <c r="F39" s="15" t="s">
        <v>325</v>
      </c>
      <c r="G39" s="8" t="s">
        <v>32</v>
      </c>
      <c r="H39" s="8" t="s">
        <v>33</v>
      </c>
      <c r="I39" s="10" t="s">
        <v>16</v>
      </c>
      <c r="J39" s="8" t="s">
        <v>17</v>
      </c>
      <c r="K39" s="8" t="s">
        <v>148</v>
      </c>
      <c r="L39" s="8"/>
      <c r="M39" s="6"/>
    </row>
    <row r="40" spans="1:13" ht="24" x14ac:dyDescent="0.3">
      <c r="A40" s="2">
        <v>47</v>
      </c>
      <c r="B40" s="3" t="s">
        <v>12</v>
      </c>
      <c r="C40" s="3" t="s">
        <v>143</v>
      </c>
      <c r="D40" s="4" t="s">
        <v>149</v>
      </c>
      <c r="E40" s="2" t="s">
        <v>150</v>
      </c>
      <c r="F40" s="15" t="s">
        <v>325</v>
      </c>
      <c r="G40" s="3" t="s">
        <v>32</v>
      </c>
      <c r="H40" s="3" t="s">
        <v>33</v>
      </c>
      <c r="I40" s="5" t="s">
        <v>16</v>
      </c>
      <c r="J40" s="3" t="s">
        <v>17</v>
      </c>
      <c r="K40" s="3" t="s">
        <v>34</v>
      </c>
      <c r="L40" s="3"/>
      <c r="M40" s="6"/>
    </row>
    <row r="41" spans="1:13" ht="24" x14ac:dyDescent="0.3">
      <c r="A41" s="7">
        <v>48</v>
      </c>
      <c r="B41" s="8" t="s">
        <v>12</v>
      </c>
      <c r="C41" s="8" t="s">
        <v>143</v>
      </c>
      <c r="D41" s="9" t="s">
        <v>151</v>
      </c>
      <c r="E41" s="7" t="s">
        <v>152</v>
      </c>
      <c r="F41" s="15" t="s">
        <v>325</v>
      </c>
      <c r="G41" s="8" t="s">
        <v>32</v>
      </c>
      <c r="H41" s="8" t="s">
        <v>33</v>
      </c>
      <c r="I41" s="10" t="s">
        <v>16</v>
      </c>
      <c r="J41" s="8" t="s">
        <v>153</v>
      </c>
      <c r="K41" s="8" t="s">
        <v>148</v>
      </c>
      <c r="L41" s="8" t="s">
        <v>154</v>
      </c>
      <c r="M41" s="6"/>
    </row>
    <row r="42" spans="1:13" ht="22.8" x14ac:dyDescent="0.3">
      <c r="A42" s="2">
        <v>49</v>
      </c>
      <c r="B42" s="3" t="s">
        <v>12</v>
      </c>
      <c r="C42" s="3" t="s">
        <v>143</v>
      </c>
      <c r="D42" s="4" t="s">
        <v>155</v>
      </c>
      <c r="E42" s="2" t="s">
        <v>156</v>
      </c>
      <c r="F42" s="15" t="s">
        <v>325</v>
      </c>
      <c r="G42" s="3" t="s">
        <v>32</v>
      </c>
      <c r="H42" s="3" t="s">
        <v>157</v>
      </c>
      <c r="I42" s="5" t="s">
        <v>16</v>
      </c>
      <c r="J42" s="3" t="s">
        <v>17</v>
      </c>
      <c r="K42" s="3" t="s">
        <v>34</v>
      </c>
      <c r="L42" s="3"/>
      <c r="M42" s="6"/>
    </row>
    <row r="43" spans="1:13" x14ac:dyDescent="0.3">
      <c r="A43" s="7">
        <v>50</v>
      </c>
      <c r="B43" s="8" t="s">
        <v>12</v>
      </c>
      <c r="C43" s="8" t="s">
        <v>143</v>
      </c>
      <c r="D43" s="9" t="s">
        <v>158</v>
      </c>
      <c r="E43" s="7" t="s">
        <v>159</v>
      </c>
      <c r="F43" s="15" t="s">
        <v>325</v>
      </c>
      <c r="G43" s="8" t="s">
        <v>160</v>
      </c>
      <c r="H43" s="8"/>
      <c r="I43" s="8" t="s">
        <v>72</v>
      </c>
      <c r="J43" s="8" t="s">
        <v>17</v>
      </c>
      <c r="K43" s="8" t="s">
        <v>161</v>
      </c>
      <c r="L43" s="8"/>
      <c r="M43" s="6"/>
    </row>
    <row r="44" spans="1:13" x14ac:dyDescent="0.3">
      <c r="A44" s="2">
        <v>51</v>
      </c>
      <c r="B44" s="3" t="s">
        <v>12</v>
      </c>
      <c r="C44" s="3" t="s">
        <v>143</v>
      </c>
      <c r="D44" s="4" t="s">
        <v>162</v>
      </c>
      <c r="E44" s="2" t="s">
        <v>163</v>
      </c>
      <c r="F44" s="15" t="s">
        <v>325</v>
      </c>
      <c r="G44" s="3" t="s">
        <v>32</v>
      </c>
      <c r="H44" s="3" t="s">
        <v>33</v>
      </c>
      <c r="I44" s="5" t="s">
        <v>16</v>
      </c>
      <c r="J44" s="3" t="s">
        <v>17</v>
      </c>
      <c r="K44" s="3" t="s">
        <v>164</v>
      </c>
      <c r="L44" s="3"/>
      <c r="M44" s="6"/>
    </row>
    <row r="45" spans="1:13" x14ac:dyDescent="0.3">
      <c r="A45" s="7">
        <v>52</v>
      </c>
      <c r="B45" s="8" t="s">
        <v>12</v>
      </c>
      <c r="C45" s="8" t="s">
        <v>143</v>
      </c>
      <c r="D45" s="9" t="s">
        <v>165</v>
      </c>
      <c r="E45" s="7" t="s">
        <v>166</v>
      </c>
      <c r="F45" s="15" t="s">
        <v>325</v>
      </c>
      <c r="G45" s="8" t="s">
        <v>32</v>
      </c>
      <c r="H45" s="8" t="s">
        <v>33</v>
      </c>
      <c r="I45" s="10" t="s">
        <v>16</v>
      </c>
      <c r="J45" s="8" t="s">
        <v>17</v>
      </c>
      <c r="K45" s="8" t="s">
        <v>164</v>
      </c>
      <c r="L45" s="8"/>
      <c r="M45" s="6"/>
    </row>
    <row r="46" spans="1:13" x14ac:dyDescent="0.3">
      <c r="A46" s="2">
        <v>53</v>
      </c>
      <c r="B46" s="3" t="s">
        <v>12</v>
      </c>
      <c r="C46" s="3" t="s">
        <v>143</v>
      </c>
      <c r="D46" s="4" t="s">
        <v>167</v>
      </c>
      <c r="E46" s="2" t="s">
        <v>168</v>
      </c>
      <c r="F46" s="15" t="s">
        <v>325</v>
      </c>
      <c r="G46" s="3" t="s">
        <v>32</v>
      </c>
      <c r="H46" s="3" t="s">
        <v>33</v>
      </c>
      <c r="I46" s="5" t="s">
        <v>16</v>
      </c>
      <c r="J46" s="3" t="s">
        <v>17</v>
      </c>
      <c r="K46" s="3" t="s">
        <v>164</v>
      </c>
      <c r="L46" s="3"/>
      <c r="M46" s="6"/>
    </row>
    <row r="47" spans="1:13" x14ac:dyDescent="0.3">
      <c r="A47" s="7">
        <v>54</v>
      </c>
      <c r="B47" s="8" t="s">
        <v>12</v>
      </c>
      <c r="C47" s="8" t="s">
        <v>143</v>
      </c>
      <c r="D47" s="9" t="s">
        <v>169</v>
      </c>
      <c r="E47" s="7" t="s">
        <v>170</v>
      </c>
      <c r="F47" s="15" t="s">
        <v>325</v>
      </c>
      <c r="G47" s="8" t="s">
        <v>32</v>
      </c>
      <c r="H47" s="8" t="s">
        <v>33</v>
      </c>
      <c r="I47" s="10" t="s">
        <v>16</v>
      </c>
      <c r="J47" s="8" t="s">
        <v>17</v>
      </c>
      <c r="K47" s="8" t="s">
        <v>34</v>
      </c>
      <c r="L47" s="8"/>
      <c r="M47" s="6"/>
    </row>
    <row r="48" spans="1:13" x14ac:dyDescent="0.3">
      <c r="A48" s="2">
        <v>55</v>
      </c>
      <c r="B48" s="3" t="s">
        <v>12</v>
      </c>
      <c r="C48" s="3" t="s">
        <v>143</v>
      </c>
      <c r="D48" s="4" t="s">
        <v>171</v>
      </c>
      <c r="E48" s="2" t="s">
        <v>172</v>
      </c>
      <c r="F48" s="15" t="s">
        <v>325</v>
      </c>
      <c r="G48" s="3" t="s">
        <v>32</v>
      </c>
      <c r="H48" s="3" t="s">
        <v>173</v>
      </c>
      <c r="I48" s="5" t="s">
        <v>16</v>
      </c>
      <c r="J48" s="3" t="s">
        <v>68</v>
      </c>
      <c r="K48" s="3" t="s">
        <v>174</v>
      </c>
      <c r="L48" s="3"/>
      <c r="M48" s="6"/>
    </row>
    <row r="49" spans="1:13" x14ac:dyDescent="0.3">
      <c r="A49" s="7">
        <v>56</v>
      </c>
      <c r="B49" s="8" t="s">
        <v>12</v>
      </c>
      <c r="C49" s="8" t="s">
        <v>143</v>
      </c>
      <c r="D49" s="9" t="s">
        <v>175</v>
      </c>
      <c r="E49" s="7" t="s">
        <v>176</v>
      </c>
      <c r="F49" s="15" t="s">
        <v>325</v>
      </c>
      <c r="G49" s="8" t="s">
        <v>15</v>
      </c>
      <c r="H49" s="8"/>
      <c r="I49" s="10" t="s">
        <v>16</v>
      </c>
      <c r="J49" s="8" t="s">
        <v>68</v>
      </c>
      <c r="K49" s="8" t="s">
        <v>177</v>
      </c>
      <c r="L49" s="8"/>
      <c r="M49" s="6"/>
    </row>
    <row r="50" spans="1:13" x14ac:dyDescent="0.3">
      <c r="A50" s="2">
        <v>57</v>
      </c>
      <c r="B50" s="3" t="s">
        <v>12</v>
      </c>
      <c r="C50" s="3" t="s">
        <v>178</v>
      </c>
      <c r="D50" s="16" t="s">
        <v>320</v>
      </c>
      <c r="E50" s="2" t="s">
        <v>179</v>
      </c>
      <c r="F50" s="15" t="s">
        <v>325</v>
      </c>
      <c r="G50" s="3" t="s">
        <v>97</v>
      </c>
      <c r="H50" s="3"/>
      <c r="I50" s="5" t="s">
        <v>16</v>
      </c>
      <c r="J50" s="3" t="s">
        <v>180</v>
      </c>
      <c r="K50" s="3" t="s">
        <v>181</v>
      </c>
      <c r="L50" s="3" t="s">
        <v>182</v>
      </c>
      <c r="M50" s="6"/>
    </row>
    <row r="51" spans="1:13" ht="24" x14ac:dyDescent="0.3">
      <c r="A51" s="7">
        <v>58</v>
      </c>
      <c r="B51" s="8" t="s">
        <v>12</v>
      </c>
      <c r="C51" s="8" t="s">
        <v>183</v>
      </c>
      <c r="D51" s="17" t="s">
        <v>321</v>
      </c>
      <c r="E51" s="7" t="s">
        <v>184</v>
      </c>
      <c r="F51" s="15" t="s">
        <v>325</v>
      </c>
      <c r="G51" s="8" t="s">
        <v>97</v>
      </c>
      <c r="H51" s="8"/>
      <c r="I51" s="10" t="s">
        <v>16</v>
      </c>
      <c r="J51" s="8" t="s">
        <v>153</v>
      </c>
      <c r="K51" s="8" t="s">
        <v>185</v>
      </c>
      <c r="L51" s="8"/>
      <c r="M51" s="6"/>
    </row>
    <row r="52" spans="1:13" x14ac:dyDescent="0.3">
      <c r="A52" s="2">
        <v>59</v>
      </c>
      <c r="B52" s="3" t="s">
        <v>12</v>
      </c>
      <c r="C52" s="3" t="s">
        <v>183</v>
      </c>
      <c r="D52" s="16" t="s">
        <v>322</v>
      </c>
      <c r="E52" s="2" t="s">
        <v>186</v>
      </c>
      <c r="F52" s="15" t="s">
        <v>325</v>
      </c>
      <c r="G52" s="3" t="s">
        <v>32</v>
      </c>
      <c r="H52" s="3" t="s">
        <v>33</v>
      </c>
      <c r="I52" s="5" t="s">
        <v>16</v>
      </c>
      <c r="J52" s="3" t="s">
        <v>153</v>
      </c>
      <c r="K52" s="3" t="s">
        <v>148</v>
      </c>
      <c r="L52" s="3"/>
      <c r="M52" s="6"/>
    </row>
    <row r="53" spans="1:13" x14ac:dyDescent="0.3">
      <c r="A53" s="7">
        <v>60</v>
      </c>
      <c r="B53" s="8" t="s">
        <v>12</v>
      </c>
      <c r="C53" s="8" t="s">
        <v>183</v>
      </c>
      <c r="D53" s="17" t="s">
        <v>323</v>
      </c>
      <c r="E53" s="7" t="s">
        <v>187</v>
      </c>
      <c r="F53" s="15" t="s">
        <v>325</v>
      </c>
      <c r="G53" s="8" t="s">
        <v>15</v>
      </c>
      <c r="H53" s="8"/>
      <c r="I53" s="8" t="s">
        <v>72</v>
      </c>
      <c r="J53" s="8" t="s">
        <v>153</v>
      </c>
      <c r="K53" s="8" t="s">
        <v>188</v>
      </c>
      <c r="L53" s="8"/>
      <c r="M53" s="6"/>
    </row>
    <row r="54" spans="1:13" x14ac:dyDescent="0.3">
      <c r="A54" s="2">
        <v>61</v>
      </c>
      <c r="B54" s="3" t="s">
        <v>12</v>
      </c>
      <c r="C54" s="3" t="s">
        <v>183</v>
      </c>
      <c r="D54" s="4" t="s">
        <v>189</v>
      </c>
      <c r="E54" s="2" t="s">
        <v>190</v>
      </c>
      <c r="F54" s="15" t="s">
        <v>325</v>
      </c>
      <c r="G54" s="3" t="s">
        <v>32</v>
      </c>
      <c r="H54" s="3" t="s">
        <v>33</v>
      </c>
      <c r="I54" s="5" t="s">
        <v>16</v>
      </c>
      <c r="J54" s="3" t="s">
        <v>153</v>
      </c>
      <c r="K54" s="3" t="s">
        <v>164</v>
      </c>
      <c r="L54" s="3"/>
      <c r="M54" s="6"/>
    </row>
    <row r="55" spans="1:13" x14ac:dyDescent="0.3">
      <c r="A55" s="7">
        <v>62</v>
      </c>
      <c r="B55" s="8" t="s">
        <v>12</v>
      </c>
      <c r="C55" s="8" t="s">
        <v>183</v>
      </c>
      <c r="D55" s="9" t="s">
        <v>191</v>
      </c>
      <c r="E55" s="7" t="s">
        <v>192</v>
      </c>
      <c r="F55" s="15" t="s">
        <v>325</v>
      </c>
      <c r="G55" s="8" t="s">
        <v>32</v>
      </c>
      <c r="H55" s="8" t="s">
        <v>33</v>
      </c>
      <c r="I55" s="10" t="s">
        <v>16</v>
      </c>
      <c r="J55" s="8" t="s">
        <v>153</v>
      </c>
      <c r="K55" s="8" t="s">
        <v>34</v>
      </c>
      <c r="L55" s="8"/>
      <c r="M55" s="6"/>
    </row>
    <row r="56" spans="1:13" x14ac:dyDescent="0.3">
      <c r="A56" s="2">
        <v>63</v>
      </c>
      <c r="B56" s="3" t="s">
        <v>12</v>
      </c>
      <c r="C56" s="3" t="s">
        <v>183</v>
      </c>
      <c r="D56" s="4" t="s">
        <v>193</v>
      </c>
      <c r="E56" s="2" t="s">
        <v>194</v>
      </c>
      <c r="F56" s="15" t="s">
        <v>325</v>
      </c>
      <c r="G56" s="3" t="s">
        <v>32</v>
      </c>
      <c r="H56" s="3" t="s">
        <v>33</v>
      </c>
      <c r="I56" s="5" t="s">
        <v>16</v>
      </c>
      <c r="J56" s="3" t="s">
        <v>153</v>
      </c>
      <c r="K56" s="3" t="s">
        <v>34</v>
      </c>
      <c r="L56" s="3"/>
      <c r="M56" s="6"/>
    </row>
    <row r="57" spans="1:13" x14ac:dyDescent="0.3">
      <c r="A57" s="2">
        <v>64</v>
      </c>
      <c r="B57" s="3" t="s">
        <v>153</v>
      </c>
      <c r="C57" s="3" t="s">
        <v>195</v>
      </c>
      <c r="D57" s="4" t="s">
        <v>196</v>
      </c>
      <c r="E57" s="2" t="s">
        <v>197</v>
      </c>
      <c r="F57" s="15" t="s">
        <v>325</v>
      </c>
      <c r="G57" s="3" t="s">
        <v>15</v>
      </c>
      <c r="H57" s="3"/>
      <c r="I57" s="5" t="s">
        <v>16</v>
      </c>
      <c r="J57" s="3" t="s">
        <v>198</v>
      </c>
      <c r="K57" s="3" t="s">
        <v>199</v>
      </c>
      <c r="L57" s="3" t="s">
        <v>200</v>
      </c>
      <c r="M57" s="6"/>
    </row>
    <row r="58" spans="1:13" x14ac:dyDescent="0.3">
      <c r="A58" s="7">
        <v>65</v>
      </c>
      <c r="B58" s="8" t="s">
        <v>153</v>
      </c>
      <c r="C58" s="8" t="s">
        <v>195</v>
      </c>
      <c r="D58" s="9" t="s">
        <v>201</v>
      </c>
      <c r="E58" s="7" t="s">
        <v>202</v>
      </c>
      <c r="F58" s="15" t="s">
        <v>325</v>
      </c>
      <c r="G58" s="8" t="s">
        <v>15</v>
      </c>
      <c r="H58" s="8"/>
      <c r="I58" s="10" t="s">
        <v>16</v>
      </c>
      <c r="J58" s="8" t="s">
        <v>153</v>
      </c>
      <c r="K58" s="8" t="s">
        <v>203</v>
      </c>
      <c r="L58" s="8"/>
      <c r="M58" s="6"/>
    </row>
    <row r="59" spans="1:13" ht="22.8" x14ac:dyDescent="0.3">
      <c r="A59" s="2">
        <v>66</v>
      </c>
      <c r="B59" s="3" t="s">
        <v>153</v>
      </c>
      <c r="C59" s="3" t="s">
        <v>195</v>
      </c>
      <c r="D59" s="4" t="s">
        <v>204</v>
      </c>
      <c r="E59" s="2" t="s">
        <v>205</v>
      </c>
      <c r="F59" s="15" t="s">
        <v>325</v>
      </c>
      <c r="G59" s="3" t="s">
        <v>15</v>
      </c>
      <c r="H59" s="3"/>
      <c r="I59" s="5" t="s">
        <v>16</v>
      </c>
      <c r="J59" s="3" t="s">
        <v>153</v>
      </c>
      <c r="K59" s="3" t="s">
        <v>206</v>
      </c>
      <c r="L59" s="3" t="s">
        <v>207</v>
      </c>
      <c r="M59" s="6"/>
    </row>
    <row r="60" spans="1:13" ht="22.8" x14ac:dyDescent="0.3">
      <c r="A60" s="7">
        <v>67</v>
      </c>
      <c r="B60" s="8" t="s">
        <v>153</v>
      </c>
      <c r="C60" s="8" t="s">
        <v>195</v>
      </c>
      <c r="D60" s="9" t="s">
        <v>208</v>
      </c>
      <c r="E60" s="7" t="s">
        <v>209</v>
      </c>
      <c r="F60" s="15" t="s">
        <v>325</v>
      </c>
      <c r="G60" s="8" t="s">
        <v>32</v>
      </c>
      <c r="H60" s="8" t="s">
        <v>210</v>
      </c>
      <c r="I60" s="10" t="s">
        <v>16</v>
      </c>
      <c r="J60" s="8" t="s">
        <v>153</v>
      </c>
      <c r="K60" s="8" t="s">
        <v>211</v>
      </c>
      <c r="L60" s="8" t="s">
        <v>212</v>
      </c>
      <c r="M60" s="6"/>
    </row>
    <row r="61" spans="1:13" ht="22.8" x14ac:dyDescent="0.3">
      <c r="A61" s="2">
        <v>68</v>
      </c>
      <c r="B61" s="3" t="s">
        <v>153</v>
      </c>
      <c r="C61" s="3" t="s">
        <v>195</v>
      </c>
      <c r="D61" s="4" t="s">
        <v>213</v>
      </c>
      <c r="E61" s="2" t="s">
        <v>214</v>
      </c>
      <c r="F61" s="15" t="s">
        <v>325</v>
      </c>
      <c r="G61" s="3" t="s">
        <v>215</v>
      </c>
      <c r="H61" s="3"/>
      <c r="I61" s="5" t="s">
        <v>16</v>
      </c>
      <c r="J61" s="3" t="s">
        <v>153</v>
      </c>
      <c r="K61" s="3">
        <f>2920/12</f>
        <v>243.33333333333334</v>
      </c>
      <c r="L61" s="3" t="s">
        <v>216</v>
      </c>
      <c r="M61" s="6"/>
    </row>
    <row r="62" spans="1:13" x14ac:dyDescent="0.3">
      <c r="A62" s="7">
        <v>69</v>
      </c>
      <c r="B62" s="8" t="s">
        <v>153</v>
      </c>
      <c r="C62" s="8" t="s">
        <v>195</v>
      </c>
      <c r="D62" s="9" t="s">
        <v>217</v>
      </c>
      <c r="E62" s="7" t="s">
        <v>218</v>
      </c>
      <c r="F62" s="15" t="s">
        <v>325</v>
      </c>
      <c r="G62" s="8" t="s">
        <v>27</v>
      </c>
      <c r="H62" s="8"/>
      <c r="I62" s="10" t="s">
        <v>16</v>
      </c>
      <c r="J62" s="8" t="s">
        <v>153</v>
      </c>
      <c r="K62" s="8" t="s">
        <v>219</v>
      </c>
      <c r="L62" s="8" t="s">
        <v>220</v>
      </c>
      <c r="M62" s="6"/>
    </row>
    <row r="63" spans="1:13" x14ac:dyDescent="0.3">
      <c r="A63" s="2">
        <v>70</v>
      </c>
      <c r="B63" s="3" t="s">
        <v>153</v>
      </c>
      <c r="C63" s="3" t="s">
        <v>195</v>
      </c>
      <c r="D63" s="4" t="s">
        <v>221</v>
      </c>
      <c r="E63" s="2" t="s">
        <v>222</v>
      </c>
      <c r="F63" s="15" t="s">
        <v>325</v>
      </c>
      <c r="G63" s="3" t="s">
        <v>90</v>
      </c>
      <c r="H63" s="3"/>
      <c r="I63" s="3" t="s">
        <v>72</v>
      </c>
      <c r="J63" s="3" t="s">
        <v>68</v>
      </c>
      <c r="K63" s="3"/>
      <c r="L63" s="3" t="s">
        <v>223</v>
      </c>
      <c r="M63" s="6"/>
    </row>
    <row r="64" spans="1:13" x14ac:dyDescent="0.3">
      <c r="A64" s="7">
        <v>71</v>
      </c>
      <c r="B64" s="8" t="s">
        <v>153</v>
      </c>
      <c r="C64" s="8" t="s">
        <v>195</v>
      </c>
      <c r="D64" s="9" t="s">
        <v>224</v>
      </c>
      <c r="E64" s="7" t="s">
        <v>225</v>
      </c>
      <c r="F64" s="15" t="s">
        <v>325</v>
      </c>
      <c r="G64" s="8" t="s">
        <v>90</v>
      </c>
      <c r="H64" s="8"/>
      <c r="I64" s="8" t="s">
        <v>72</v>
      </c>
      <c r="J64" s="8" t="s">
        <v>153</v>
      </c>
      <c r="K64" s="8"/>
      <c r="L64" s="8" t="s">
        <v>226</v>
      </c>
      <c r="M64" s="6"/>
    </row>
    <row r="65" spans="1:13" x14ac:dyDescent="0.3">
      <c r="A65" s="2">
        <v>73</v>
      </c>
      <c r="B65" s="3" t="s">
        <v>227</v>
      </c>
      <c r="C65" s="3" t="s">
        <v>228</v>
      </c>
      <c r="D65" s="4" t="s">
        <v>229</v>
      </c>
      <c r="E65" s="2" t="s">
        <v>14</v>
      </c>
      <c r="F65" s="15" t="s">
        <v>325</v>
      </c>
      <c r="G65" s="3" t="s">
        <v>160</v>
      </c>
      <c r="H65" s="3"/>
      <c r="I65" s="5" t="s">
        <v>16</v>
      </c>
      <c r="J65" s="3" t="s">
        <v>230</v>
      </c>
      <c r="K65" s="3" t="s">
        <v>231</v>
      </c>
      <c r="L65" s="3" t="s">
        <v>232</v>
      </c>
      <c r="M65" s="6"/>
    </row>
    <row r="66" spans="1:13" x14ac:dyDescent="0.3">
      <c r="A66" s="7">
        <v>74</v>
      </c>
      <c r="B66" s="8" t="s">
        <v>227</v>
      </c>
      <c r="C66" s="8" t="s">
        <v>228</v>
      </c>
      <c r="D66" s="9" t="s">
        <v>233</v>
      </c>
      <c r="E66" s="7" t="s">
        <v>19</v>
      </c>
      <c r="F66" s="15" t="s">
        <v>325</v>
      </c>
      <c r="G66" s="8" t="s">
        <v>160</v>
      </c>
      <c r="H66" s="8"/>
      <c r="I66" s="10" t="s">
        <v>16</v>
      </c>
      <c r="J66" s="8" t="s">
        <v>230</v>
      </c>
      <c r="K66" s="8" t="s">
        <v>234</v>
      </c>
      <c r="L66" s="8"/>
      <c r="M66" s="6"/>
    </row>
    <row r="67" spans="1:13" x14ac:dyDescent="0.3">
      <c r="A67" s="2">
        <v>75</v>
      </c>
      <c r="B67" s="3" t="s">
        <v>227</v>
      </c>
      <c r="C67" s="3" t="s">
        <v>228</v>
      </c>
      <c r="D67" s="4" t="s">
        <v>235</v>
      </c>
      <c r="E67" s="2" t="s">
        <v>22</v>
      </c>
      <c r="F67" s="15" t="s">
        <v>326</v>
      </c>
      <c r="G67" s="3" t="s">
        <v>32</v>
      </c>
      <c r="H67" s="3" t="s">
        <v>236</v>
      </c>
      <c r="I67" s="5" t="s">
        <v>16</v>
      </c>
      <c r="J67" s="3" t="s">
        <v>237</v>
      </c>
      <c r="K67" s="3" t="s">
        <v>238</v>
      </c>
      <c r="L67" s="3" t="s">
        <v>239</v>
      </c>
      <c r="M67" s="6"/>
    </row>
    <row r="68" spans="1:13" x14ac:dyDescent="0.3">
      <c r="A68" s="7">
        <v>76</v>
      </c>
      <c r="B68" s="8" t="s">
        <v>227</v>
      </c>
      <c r="C68" s="8" t="s">
        <v>228</v>
      </c>
      <c r="D68" s="9" t="s">
        <v>240</v>
      </c>
      <c r="E68" s="7" t="s">
        <v>30</v>
      </c>
      <c r="F68" s="15" t="s">
        <v>325</v>
      </c>
      <c r="G68" s="8" t="s">
        <v>160</v>
      </c>
      <c r="H68" s="8"/>
      <c r="I68" s="10" t="s">
        <v>16</v>
      </c>
      <c r="J68" s="8" t="s">
        <v>241</v>
      </c>
      <c r="K68" s="8" t="s">
        <v>242</v>
      </c>
      <c r="L68" s="8"/>
      <c r="M68" s="6"/>
    </row>
    <row r="69" spans="1:13" x14ac:dyDescent="0.3">
      <c r="A69" s="2">
        <v>77</v>
      </c>
      <c r="B69" s="3" t="s">
        <v>227</v>
      </c>
      <c r="C69" s="3" t="s">
        <v>228</v>
      </c>
      <c r="D69" s="4" t="s">
        <v>243</v>
      </c>
      <c r="E69" s="2" t="s">
        <v>31</v>
      </c>
      <c r="F69" s="15" t="s">
        <v>325</v>
      </c>
      <c r="G69" s="3" t="s">
        <v>160</v>
      </c>
      <c r="H69" s="3"/>
      <c r="I69" s="5" t="s">
        <v>16</v>
      </c>
      <c r="J69" s="3" t="s">
        <v>241</v>
      </c>
      <c r="K69" s="3" t="s">
        <v>244</v>
      </c>
      <c r="L69" s="3"/>
      <c r="M69" s="6"/>
    </row>
    <row r="70" spans="1:13" x14ac:dyDescent="0.3">
      <c r="A70" s="7">
        <v>78</v>
      </c>
      <c r="B70" s="8" t="s">
        <v>227</v>
      </c>
      <c r="C70" s="8" t="s">
        <v>228</v>
      </c>
      <c r="D70" s="9" t="s">
        <v>245</v>
      </c>
      <c r="E70" s="7" t="s">
        <v>36</v>
      </c>
      <c r="F70" s="15" t="s">
        <v>325</v>
      </c>
      <c r="G70" s="8" t="s">
        <v>160</v>
      </c>
      <c r="H70" s="8"/>
      <c r="I70" s="10" t="s">
        <v>16</v>
      </c>
      <c r="J70" s="8" t="s">
        <v>241</v>
      </c>
      <c r="K70" s="8" t="s">
        <v>246</v>
      </c>
      <c r="L70" s="8"/>
      <c r="M70" s="6"/>
    </row>
    <row r="71" spans="1:13" x14ac:dyDescent="0.3">
      <c r="A71" s="2">
        <v>79</v>
      </c>
      <c r="B71" s="3" t="s">
        <v>227</v>
      </c>
      <c r="C71" s="3" t="s">
        <v>228</v>
      </c>
      <c r="D71" s="4" t="s">
        <v>247</v>
      </c>
      <c r="E71" s="2" t="s">
        <v>41</v>
      </c>
      <c r="F71" s="15" t="s">
        <v>325</v>
      </c>
      <c r="G71" s="3" t="s">
        <v>160</v>
      </c>
      <c r="H71" s="3"/>
      <c r="I71" s="5" t="s">
        <v>16</v>
      </c>
      <c r="J71" s="3" t="s">
        <v>241</v>
      </c>
      <c r="K71" s="3" t="s">
        <v>234</v>
      </c>
      <c r="L71" s="3"/>
      <c r="M71" s="6"/>
    </row>
    <row r="72" spans="1:13" x14ac:dyDescent="0.3">
      <c r="A72" s="7">
        <v>80</v>
      </c>
      <c r="B72" s="8" t="s">
        <v>227</v>
      </c>
      <c r="C72" s="8" t="s">
        <v>248</v>
      </c>
      <c r="D72" s="9" t="s">
        <v>249</v>
      </c>
      <c r="E72" s="7" t="s">
        <v>56</v>
      </c>
      <c r="F72" s="15" t="s">
        <v>325</v>
      </c>
      <c r="G72" s="8" t="s">
        <v>160</v>
      </c>
      <c r="H72" s="8"/>
      <c r="I72" s="10" t="s">
        <v>16</v>
      </c>
      <c r="J72" s="8" t="s">
        <v>250</v>
      </c>
      <c r="K72" s="8" t="s">
        <v>231</v>
      </c>
      <c r="L72" s="8" t="s">
        <v>251</v>
      </c>
      <c r="M72" s="6"/>
    </row>
    <row r="73" spans="1:13" x14ac:dyDescent="0.3">
      <c r="A73" s="2">
        <v>81</v>
      </c>
      <c r="B73" s="3" t="s">
        <v>227</v>
      </c>
      <c r="C73" s="3" t="s">
        <v>248</v>
      </c>
      <c r="D73" s="4" t="s">
        <v>252</v>
      </c>
      <c r="E73" s="2" t="s">
        <v>60</v>
      </c>
      <c r="F73" s="15" t="s">
        <v>325</v>
      </c>
      <c r="G73" s="3" t="s">
        <v>160</v>
      </c>
      <c r="H73" s="3"/>
      <c r="I73" s="5" t="s">
        <v>16</v>
      </c>
      <c r="J73" s="3" t="s">
        <v>250</v>
      </c>
      <c r="K73" s="3" t="s">
        <v>253</v>
      </c>
      <c r="L73" s="3" t="s">
        <v>251</v>
      </c>
      <c r="M73" s="6"/>
    </row>
    <row r="74" spans="1:13" ht="22.8" x14ac:dyDescent="0.3">
      <c r="A74" s="7">
        <v>82</v>
      </c>
      <c r="B74" s="8" t="s">
        <v>227</v>
      </c>
      <c r="C74" s="8" t="s">
        <v>248</v>
      </c>
      <c r="D74" s="9" t="s">
        <v>254</v>
      </c>
      <c r="E74" s="7" t="s">
        <v>64</v>
      </c>
      <c r="F74" s="15" t="s">
        <v>325</v>
      </c>
      <c r="G74" s="8" t="s">
        <v>160</v>
      </c>
      <c r="H74" s="8"/>
      <c r="I74" s="12" t="s">
        <v>114</v>
      </c>
      <c r="J74" s="8" t="s">
        <v>250</v>
      </c>
      <c r="K74" s="8" t="s">
        <v>255</v>
      </c>
      <c r="L74" s="8" t="s">
        <v>256</v>
      </c>
      <c r="M74" s="6"/>
    </row>
    <row r="75" spans="1:13" x14ac:dyDescent="0.3">
      <c r="A75" s="2">
        <v>83</v>
      </c>
      <c r="B75" s="3" t="s">
        <v>227</v>
      </c>
      <c r="C75" s="3" t="s">
        <v>257</v>
      </c>
      <c r="D75" s="4" t="s">
        <v>258</v>
      </c>
      <c r="E75" s="2" t="s">
        <v>74</v>
      </c>
      <c r="F75" s="15" t="s">
        <v>325</v>
      </c>
      <c r="G75" s="3" t="s">
        <v>160</v>
      </c>
      <c r="H75" s="3"/>
      <c r="I75" s="5" t="s">
        <v>16</v>
      </c>
      <c r="J75" s="3" t="s">
        <v>259</v>
      </c>
      <c r="K75" s="3" t="s">
        <v>260</v>
      </c>
      <c r="L75" s="3" t="s">
        <v>261</v>
      </c>
      <c r="M75" s="6"/>
    </row>
    <row r="76" spans="1:13" x14ac:dyDescent="0.3">
      <c r="A76" s="2">
        <v>84</v>
      </c>
      <c r="B76" s="3" t="s">
        <v>262</v>
      </c>
      <c r="C76" s="3" t="s">
        <v>263</v>
      </c>
      <c r="D76" s="4" t="s">
        <v>264</v>
      </c>
      <c r="E76" s="2" t="s">
        <v>197</v>
      </c>
      <c r="F76" s="15" t="s">
        <v>325</v>
      </c>
      <c r="G76" s="3" t="s">
        <v>15</v>
      </c>
      <c r="H76" s="3"/>
      <c r="I76" s="5" t="s">
        <v>16</v>
      </c>
      <c r="J76" s="3" t="s">
        <v>153</v>
      </c>
      <c r="K76" s="3" t="s">
        <v>199</v>
      </c>
      <c r="L76" s="3" t="s">
        <v>200</v>
      </c>
      <c r="M76" s="6"/>
    </row>
    <row r="77" spans="1:13" x14ac:dyDescent="0.3">
      <c r="A77" s="7">
        <v>85</v>
      </c>
      <c r="B77" s="8" t="s">
        <v>262</v>
      </c>
      <c r="C77" s="8" t="s">
        <v>263</v>
      </c>
      <c r="D77" s="9" t="s">
        <v>265</v>
      </c>
      <c r="E77" s="7" t="s">
        <v>202</v>
      </c>
      <c r="F77" s="15" t="s">
        <v>325</v>
      </c>
      <c r="G77" s="8" t="s">
        <v>32</v>
      </c>
      <c r="H77" s="8" t="s">
        <v>266</v>
      </c>
      <c r="I77" s="10" t="s">
        <v>16</v>
      </c>
      <c r="J77" s="8" t="s">
        <v>267</v>
      </c>
      <c r="K77" s="8" t="s">
        <v>268</v>
      </c>
      <c r="L77" s="8"/>
      <c r="M77" s="6"/>
    </row>
    <row r="78" spans="1:13" ht="22.8" x14ac:dyDescent="0.3">
      <c r="A78" s="2">
        <v>86</v>
      </c>
      <c r="B78" s="3" t="s">
        <v>262</v>
      </c>
      <c r="C78" s="3" t="s">
        <v>263</v>
      </c>
      <c r="D78" s="4" t="s">
        <v>269</v>
      </c>
      <c r="E78" s="2" t="s">
        <v>205</v>
      </c>
      <c r="F78" s="15" t="s">
        <v>325</v>
      </c>
      <c r="G78" s="3" t="s">
        <v>27</v>
      </c>
      <c r="H78" s="3"/>
      <c r="I78" s="11" t="s">
        <v>114</v>
      </c>
      <c r="J78" s="3" t="s">
        <v>270</v>
      </c>
      <c r="K78" s="3" t="s">
        <v>271</v>
      </c>
      <c r="L78" s="3" t="s">
        <v>272</v>
      </c>
      <c r="M78" s="6"/>
    </row>
    <row r="79" spans="1:13" x14ac:dyDescent="0.3">
      <c r="A79" s="7">
        <v>87</v>
      </c>
      <c r="B79" s="8" t="s">
        <v>262</v>
      </c>
      <c r="C79" s="8" t="s">
        <v>263</v>
      </c>
      <c r="D79" s="9" t="s">
        <v>273</v>
      </c>
      <c r="E79" s="7" t="s">
        <v>209</v>
      </c>
      <c r="F79" s="15" t="s">
        <v>325</v>
      </c>
      <c r="G79" s="8" t="s">
        <v>274</v>
      </c>
      <c r="H79" s="8"/>
      <c r="I79" s="10" t="s">
        <v>16</v>
      </c>
      <c r="J79" s="8" t="s">
        <v>68</v>
      </c>
      <c r="K79" s="8" t="s">
        <v>275</v>
      </c>
      <c r="L79" s="8" t="s">
        <v>276</v>
      </c>
      <c r="M79" s="6"/>
    </row>
    <row r="80" spans="1:13" x14ac:dyDescent="0.3">
      <c r="A80" s="2">
        <v>88</v>
      </c>
      <c r="B80" s="3" t="s">
        <v>262</v>
      </c>
      <c r="C80" s="3" t="s">
        <v>263</v>
      </c>
      <c r="D80" s="4" t="s">
        <v>277</v>
      </c>
      <c r="E80" s="2" t="s">
        <v>218</v>
      </c>
      <c r="F80" s="15" t="s">
        <v>325</v>
      </c>
      <c r="G80" s="3" t="s">
        <v>90</v>
      </c>
      <c r="H80" s="3"/>
      <c r="I80" s="5" t="s">
        <v>16</v>
      </c>
      <c r="J80" s="3" t="s">
        <v>278</v>
      </c>
      <c r="K80" s="3" t="s">
        <v>279</v>
      </c>
      <c r="L80" s="3" t="s">
        <v>280</v>
      </c>
      <c r="M80" s="6"/>
    </row>
    <row r="81" spans="1:13" x14ac:dyDescent="0.3">
      <c r="A81" s="7">
        <v>89</v>
      </c>
      <c r="B81" s="8" t="s">
        <v>262</v>
      </c>
      <c r="C81" s="8" t="s">
        <v>263</v>
      </c>
      <c r="D81" s="9" t="s">
        <v>281</v>
      </c>
      <c r="E81" s="7" t="s">
        <v>282</v>
      </c>
      <c r="F81" s="15" t="s">
        <v>325</v>
      </c>
      <c r="G81" s="8" t="s">
        <v>90</v>
      </c>
      <c r="H81" s="8"/>
      <c r="I81" s="10" t="s">
        <v>16</v>
      </c>
      <c r="J81" s="8" t="s">
        <v>283</v>
      </c>
      <c r="K81" s="8" t="s">
        <v>284</v>
      </c>
      <c r="L81" s="8" t="s">
        <v>285</v>
      </c>
      <c r="M81" s="6"/>
    </row>
    <row r="82" spans="1:13" x14ac:dyDescent="0.3">
      <c r="A82" s="2">
        <v>90</v>
      </c>
      <c r="B82" s="3" t="s">
        <v>262</v>
      </c>
      <c r="C82" s="3" t="s">
        <v>286</v>
      </c>
      <c r="D82" s="4" t="s">
        <v>287</v>
      </c>
      <c r="E82" s="2" t="s">
        <v>288</v>
      </c>
      <c r="F82" s="15" t="s">
        <v>325</v>
      </c>
      <c r="G82" s="3" t="s">
        <v>90</v>
      </c>
      <c r="H82" s="3"/>
      <c r="I82" s="3" t="s">
        <v>72</v>
      </c>
      <c r="J82" s="3" t="s">
        <v>289</v>
      </c>
      <c r="K82" s="3" t="s">
        <v>290</v>
      </c>
      <c r="L82" s="3" t="s">
        <v>291</v>
      </c>
      <c r="M82" s="6"/>
    </row>
    <row r="83" spans="1:13" ht="24" x14ac:dyDescent="0.3">
      <c r="A83" s="7">
        <v>91</v>
      </c>
      <c r="B83" s="8" t="s">
        <v>262</v>
      </c>
      <c r="C83" s="8" t="s">
        <v>286</v>
      </c>
      <c r="D83" s="9" t="s">
        <v>292</v>
      </c>
      <c r="E83" s="7" t="s">
        <v>293</v>
      </c>
      <c r="F83" s="15" t="s">
        <v>325</v>
      </c>
      <c r="G83" s="8" t="s">
        <v>90</v>
      </c>
      <c r="H83" s="8"/>
      <c r="I83" s="8" t="s">
        <v>72</v>
      </c>
      <c r="J83" s="8" t="s">
        <v>289</v>
      </c>
      <c r="K83" s="8" t="s">
        <v>290</v>
      </c>
      <c r="L83" s="8"/>
      <c r="M83" s="6"/>
    </row>
    <row r="84" spans="1:13" x14ac:dyDescent="0.3">
      <c r="A84" s="2">
        <v>92</v>
      </c>
      <c r="B84" s="3" t="s">
        <v>262</v>
      </c>
      <c r="C84" s="3" t="s">
        <v>286</v>
      </c>
      <c r="D84" s="4" t="s">
        <v>294</v>
      </c>
      <c r="E84" s="2" t="s">
        <v>295</v>
      </c>
      <c r="F84" s="15" t="s">
        <v>325</v>
      </c>
      <c r="G84" s="3" t="s">
        <v>90</v>
      </c>
      <c r="H84" s="3"/>
      <c r="I84" s="3" t="s">
        <v>72</v>
      </c>
      <c r="J84" s="3" t="s">
        <v>250</v>
      </c>
      <c r="K84" s="3" t="s">
        <v>290</v>
      </c>
      <c r="L84" s="3"/>
      <c r="M84" s="6"/>
    </row>
    <row r="85" spans="1:13" x14ac:dyDescent="0.3">
      <c r="A85" s="2">
        <v>95</v>
      </c>
      <c r="B85" s="3" t="s">
        <v>297</v>
      </c>
      <c r="C85" s="3" t="s">
        <v>298</v>
      </c>
      <c r="D85" s="4" t="s">
        <v>77</v>
      </c>
      <c r="E85" s="2" t="s">
        <v>299</v>
      </c>
      <c r="F85" s="14" t="s">
        <v>324</v>
      </c>
      <c r="G85" s="3" t="s">
        <v>15</v>
      </c>
      <c r="H85" s="3"/>
      <c r="I85" s="3" t="s">
        <v>72</v>
      </c>
      <c r="J85" s="3" t="s">
        <v>300</v>
      </c>
      <c r="K85" s="3"/>
      <c r="L85" s="3" t="s">
        <v>301</v>
      </c>
      <c r="M85" s="6"/>
    </row>
    <row r="86" spans="1:13" x14ac:dyDescent="0.3">
      <c r="A86" s="2">
        <v>97</v>
      </c>
      <c r="B86" s="3" t="s">
        <v>297</v>
      </c>
      <c r="C86" s="3" t="s">
        <v>298</v>
      </c>
      <c r="D86" s="4" t="s">
        <v>80</v>
      </c>
      <c r="E86" s="2" t="s">
        <v>302</v>
      </c>
      <c r="F86" s="14" t="s">
        <v>324</v>
      </c>
      <c r="G86" s="3" t="s">
        <v>15</v>
      </c>
      <c r="H86" s="3"/>
      <c r="I86" s="3" t="s">
        <v>72</v>
      </c>
      <c r="J86" s="3" t="s">
        <v>300</v>
      </c>
      <c r="K86" s="3"/>
      <c r="L86" s="3"/>
      <c r="M86" s="6"/>
    </row>
    <row r="87" spans="1:13" x14ac:dyDescent="0.3">
      <c r="A87" s="7">
        <v>98</v>
      </c>
      <c r="B87" s="8" t="s">
        <v>297</v>
      </c>
      <c r="C87" s="8" t="s">
        <v>298</v>
      </c>
      <c r="D87" s="9" t="s">
        <v>87</v>
      </c>
      <c r="E87" s="7" t="s">
        <v>303</v>
      </c>
      <c r="F87" s="14" t="s">
        <v>324</v>
      </c>
      <c r="G87" s="8" t="s">
        <v>32</v>
      </c>
      <c r="H87" s="8" t="s">
        <v>304</v>
      </c>
      <c r="I87" s="8" t="s">
        <v>28</v>
      </c>
      <c r="J87" s="8" t="s">
        <v>84</v>
      </c>
      <c r="K87" s="8"/>
      <c r="L87" s="8"/>
      <c r="M87" s="6"/>
    </row>
    <row r="88" spans="1:13" x14ac:dyDescent="0.3">
      <c r="A88" s="2">
        <v>99</v>
      </c>
      <c r="B88" s="3" t="s">
        <v>297</v>
      </c>
      <c r="C88" s="3" t="s">
        <v>298</v>
      </c>
      <c r="D88" s="4" t="s">
        <v>85</v>
      </c>
      <c r="E88" s="2" t="s">
        <v>305</v>
      </c>
      <c r="F88" s="14" t="s">
        <v>324</v>
      </c>
      <c r="G88" s="3" t="s">
        <v>15</v>
      </c>
      <c r="H88" s="3"/>
      <c r="I88" s="3" t="s">
        <v>28</v>
      </c>
      <c r="J88" s="3" t="s">
        <v>84</v>
      </c>
      <c r="K88" s="3"/>
      <c r="L88" s="3"/>
      <c r="M88" s="6"/>
    </row>
    <row r="89" spans="1:13" x14ac:dyDescent="0.3">
      <c r="A89" s="2">
        <v>101</v>
      </c>
      <c r="B89" s="3" t="s">
        <v>297</v>
      </c>
      <c r="C89" s="3" t="s">
        <v>298</v>
      </c>
      <c r="D89" s="4" t="s">
        <v>306</v>
      </c>
      <c r="E89" s="2" t="s">
        <v>307</v>
      </c>
      <c r="F89" s="14" t="s">
        <v>324</v>
      </c>
      <c r="G89" s="3" t="s">
        <v>15</v>
      </c>
      <c r="H89" s="3"/>
      <c r="I89" s="3" t="s">
        <v>28</v>
      </c>
      <c r="J89" s="3" t="s">
        <v>84</v>
      </c>
      <c r="K89" s="3"/>
      <c r="L89" s="3"/>
      <c r="M89" s="6"/>
    </row>
    <row r="90" spans="1:13" x14ac:dyDescent="0.3">
      <c r="A90" s="7">
        <v>102</v>
      </c>
      <c r="B90" s="8" t="s">
        <v>297</v>
      </c>
      <c r="C90" s="8" t="s">
        <v>298</v>
      </c>
      <c r="D90" s="9" t="s">
        <v>308</v>
      </c>
      <c r="E90" s="7" t="s">
        <v>309</v>
      </c>
      <c r="F90" s="14" t="s">
        <v>324</v>
      </c>
      <c r="G90" s="8" t="s">
        <v>15</v>
      </c>
      <c r="H90" s="8"/>
      <c r="I90" s="8" t="s">
        <v>28</v>
      </c>
      <c r="J90" s="8" t="s">
        <v>84</v>
      </c>
      <c r="K90" s="8"/>
      <c r="L90" s="8"/>
      <c r="M90" s="6"/>
    </row>
    <row r="91" spans="1:13" x14ac:dyDescent="0.3">
      <c r="A91" s="2">
        <v>103</v>
      </c>
      <c r="B91" s="3" t="s">
        <v>297</v>
      </c>
      <c r="C91" s="3" t="s">
        <v>298</v>
      </c>
      <c r="D91" s="4" t="s">
        <v>310</v>
      </c>
      <c r="E91" s="2" t="s">
        <v>311</v>
      </c>
      <c r="F91" s="14" t="s">
        <v>324</v>
      </c>
      <c r="G91" s="3" t="s">
        <v>90</v>
      </c>
      <c r="H91" s="3"/>
      <c r="I91" s="3" t="s">
        <v>72</v>
      </c>
      <c r="J91" s="3" t="s">
        <v>312</v>
      </c>
      <c r="K91" s="3"/>
      <c r="L91" s="3"/>
      <c r="M91" s="6"/>
    </row>
    <row r="92" spans="1:13" x14ac:dyDescent="0.3">
      <c r="A92" s="7">
        <v>104</v>
      </c>
      <c r="B92" s="8" t="s">
        <v>297</v>
      </c>
      <c r="C92" s="8" t="s">
        <v>298</v>
      </c>
      <c r="D92" s="9" t="s">
        <v>313</v>
      </c>
      <c r="E92" s="7" t="s">
        <v>314</v>
      </c>
      <c r="F92" s="14" t="s">
        <v>324</v>
      </c>
      <c r="G92" s="8" t="s">
        <v>90</v>
      </c>
      <c r="H92" s="8"/>
      <c r="I92" s="8" t="s">
        <v>72</v>
      </c>
      <c r="J92" s="8" t="s">
        <v>312</v>
      </c>
      <c r="K92" s="8"/>
      <c r="L92" s="8" t="s">
        <v>315</v>
      </c>
      <c r="M92" s="6"/>
    </row>
    <row r="93" spans="1:13" ht="22.8" x14ac:dyDescent="0.3">
      <c r="A93" s="2">
        <v>105</v>
      </c>
      <c r="B93" s="3" t="s">
        <v>297</v>
      </c>
      <c r="C93" s="3" t="s">
        <v>298</v>
      </c>
      <c r="D93" s="4" t="s">
        <v>135</v>
      </c>
      <c r="E93" s="2" t="s">
        <v>316</v>
      </c>
      <c r="F93" s="14" t="s">
        <v>324</v>
      </c>
      <c r="G93" s="3" t="s">
        <v>32</v>
      </c>
      <c r="H93" s="3" t="s">
        <v>317</v>
      </c>
      <c r="I93" s="3" t="s">
        <v>72</v>
      </c>
      <c r="J93" s="3" t="s">
        <v>318</v>
      </c>
      <c r="K93" s="3"/>
      <c r="L93" s="3"/>
      <c r="M93" s="6"/>
    </row>
  </sheetData>
  <autoFilter ref="A1:N93" xr:uid="{00000000-0001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C14F-1BB6-4372-9385-ECC39C97910E}">
  <dimension ref="B2:B123"/>
  <sheetViews>
    <sheetView workbookViewId="0">
      <selection activeCell="A3" sqref="A3:XFD3"/>
    </sheetView>
  </sheetViews>
  <sheetFormatPr defaultRowHeight="14.4" x14ac:dyDescent="0.3"/>
  <cols>
    <col min="2" max="2" width="18" style="18" customWidth="1"/>
  </cols>
  <sheetData>
    <row r="2" spans="2:2" x14ac:dyDescent="0.3">
      <c r="B2" s="20" t="s">
        <v>1</v>
      </c>
    </row>
    <row r="3" spans="2:2" x14ac:dyDescent="0.3">
      <c r="B3" s="21" t="s">
        <v>12</v>
      </c>
    </row>
    <row r="4" spans="2:2" x14ac:dyDescent="0.3">
      <c r="B4" s="19" t="s">
        <v>153</v>
      </c>
    </row>
    <row r="5" spans="2:2" x14ac:dyDescent="0.3">
      <c r="B5" s="21" t="s">
        <v>227</v>
      </c>
    </row>
    <row r="6" spans="2:2" x14ac:dyDescent="0.3">
      <c r="B6" s="19" t="s">
        <v>262</v>
      </c>
    </row>
    <row r="7" spans="2:2" x14ac:dyDescent="0.3">
      <c r="B7" s="19" t="s">
        <v>296</v>
      </c>
    </row>
    <row r="8" spans="2:2" x14ac:dyDescent="0.3">
      <c r="B8" s="19" t="s">
        <v>297</v>
      </c>
    </row>
    <row r="9" spans="2:2" x14ac:dyDescent="0.3">
      <c r="B9"/>
    </row>
    <row r="10" spans="2:2" x14ac:dyDescent="0.3">
      <c r="B10"/>
    </row>
    <row r="11" spans="2:2" x14ac:dyDescent="0.3">
      <c r="B11"/>
    </row>
    <row r="12" spans="2:2" x14ac:dyDescent="0.3">
      <c r="B12"/>
    </row>
    <row r="13" spans="2:2" x14ac:dyDescent="0.3">
      <c r="B13"/>
    </row>
    <row r="14" spans="2:2" x14ac:dyDescent="0.3">
      <c r="B14"/>
    </row>
    <row r="15" spans="2:2" x14ac:dyDescent="0.3">
      <c r="B15"/>
    </row>
    <row r="16" spans="2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Parâmetros</vt:lpstr>
      <vt:lpstr>Planilha1</vt:lpstr>
      <vt:lpstr>Parâmetros!Titulos_de_impressao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Suavilym Cristina Dos Santos</cp:lastModifiedBy>
  <dcterms:created xsi:type="dcterms:W3CDTF">2026-10-30T19:01:47Z</dcterms:created>
  <dcterms:modified xsi:type="dcterms:W3CDTF">2026-10-30T19:42:48Z</dcterms:modified>
</cp:coreProperties>
</file>